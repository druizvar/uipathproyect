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vid\Documents\UiPath\Amazon\Amazon_V\"/>
    </mc:Choice>
  </mc:AlternateContent>
  <xr:revisionPtr revIDLastSave="0" documentId="13_ncr:1_{DEAFFDD6-2289-47A4-8367-3BBE90D15AF2}" xr6:coauthVersionLast="47" xr6:coauthVersionMax="47" xr10:uidLastSave="{00000000-0000-0000-0000-000000000000}"/>
  <bookViews>
    <workbookView xWindow="28680" yWindow="-120" windowWidth="29040" windowHeight="15720" xr2:uid="{2BEBF85F-E435-4FF1-BBBB-3F67D9972AA0}"/>
  </bookViews>
  <sheets>
    <sheet name="Palabras_Clave" sheetId="3" r:id="rId1"/>
    <sheet name="Global" sheetId="1" r:id="rId2"/>
    <sheet name="Configuraciones" sheetId="2" r:id="rId3"/>
    <sheet name="Sheet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F83" i="1"/>
  <c r="F82" i="1"/>
  <c r="F75" i="1"/>
  <c r="F67" i="1"/>
  <c r="F66" i="1"/>
  <c r="F59" i="1"/>
  <c r="F58" i="1"/>
  <c r="F52" i="1"/>
  <c r="F51" i="1"/>
  <c r="F50" i="1"/>
  <c r="F43" i="1"/>
  <c r="F42" i="1"/>
  <c r="F38" i="1"/>
  <c r="F36" i="1"/>
  <c r="F35" i="1"/>
  <c r="F34" i="1"/>
  <c r="F27" i="1"/>
  <c r="F26" i="1"/>
  <c r="F22" i="1"/>
  <c r="F21" i="1"/>
  <c r="F20" i="1"/>
  <c r="F19" i="1"/>
  <c r="F18" i="1"/>
  <c r="F11" i="1"/>
  <c r="F10" i="1"/>
  <c r="F6" i="1"/>
  <c r="F5" i="1"/>
  <c r="F4" i="1"/>
  <c r="F3" i="1"/>
  <c r="F2" i="1"/>
  <c r="F7" i="1"/>
  <c r="F8" i="1"/>
  <c r="F9" i="1"/>
  <c r="F12" i="1"/>
  <c r="F13" i="1"/>
  <c r="F14" i="1"/>
  <c r="F15" i="1"/>
  <c r="F16" i="1"/>
  <c r="F17" i="1"/>
  <c r="F23" i="1"/>
  <c r="F24" i="1"/>
  <c r="F25" i="1"/>
  <c r="F28" i="1"/>
  <c r="F29" i="1"/>
  <c r="F30" i="1"/>
  <c r="F31" i="1"/>
  <c r="F32" i="1"/>
  <c r="F33" i="1"/>
  <c r="F37" i="1"/>
  <c r="F39" i="1"/>
  <c r="F40" i="1"/>
  <c r="F41" i="1"/>
  <c r="F44" i="1"/>
  <c r="F45" i="1"/>
  <c r="F46" i="1"/>
  <c r="F47" i="1"/>
  <c r="F48" i="1"/>
  <c r="F49" i="1"/>
  <c r="F53" i="1"/>
  <c r="F54" i="1"/>
  <c r="F55" i="1"/>
  <c r="F56" i="1"/>
  <c r="F57" i="1"/>
  <c r="F60" i="1"/>
  <c r="F61" i="1"/>
  <c r="F62" i="1"/>
  <c r="F63" i="1"/>
  <c r="F64" i="1"/>
  <c r="F65" i="1"/>
  <c r="F68" i="1"/>
  <c r="F69" i="1"/>
  <c r="F70" i="1"/>
  <c r="F71" i="1"/>
  <c r="F72" i="1"/>
  <c r="F73" i="1"/>
  <c r="F74" i="1"/>
  <c r="F76" i="1"/>
  <c r="F77" i="1"/>
  <c r="F78" i="1"/>
  <c r="F79" i="1"/>
  <c r="F80" i="1"/>
  <c r="F81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C194" i="1"/>
  <c r="B86" i="2"/>
  <c r="B87" i="2"/>
  <c r="B88" i="2"/>
  <c r="B89" i="2"/>
  <c r="B90" i="2"/>
  <c r="B91" i="2"/>
  <c r="B92" i="2"/>
  <c r="B93" i="2"/>
  <c r="B94" i="2"/>
  <c r="B95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7" i="2"/>
  <c r="B118" i="2"/>
  <c r="B119" i="2"/>
  <c r="B120" i="2"/>
  <c r="B121" i="2"/>
  <c r="B122" i="2"/>
  <c r="B123" i="2"/>
  <c r="B124" i="2"/>
  <c r="B125" i="2"/>
  <c r="B126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2" i="2"/>
  <c r="B143" i="2"/>
  <c r="B144" i="2"/>
  <c r="B145" i="2"/>
  <c r="B146" i="2"/>
  <c r="B147" i="2"/>
  <c r="B148" i="2"/>
  <c r="B149" i="2"/>
  <c r="B151" i="2"/>
  <c r="B152" i="2"/>
  <c r="B153" i="2"/>
  <c r="B154" i="2"/>
  <c r="B155" i="2"/>
  <c r="B157" i="2"/>
  <c r="B158" i="2"/>
  <c r="B159" i="2"/>
  <c r="B160" i="2"/>
  <c r="B161" i="2"/>
  <c r="B162" i="2"/>
  <c r="B163" i="2"/>
  <c r="B164" i="2"/>
  <c r="B166" i="2"/>
  <c r="B167" i="2"/>
  <c r="B168" i="2"/>
  <c r="B169" i="2"/>
  <c r="B170" i="2"/>
  <c r="B171" i="2"/>
  <c r="B172" i="2"/>
  <c r="B174" i="2"/>
  <c r="B175" i="2"/>
  <c r="B176" i="2"/>
  <c r="B177" i="2"/>
  <c r="B178" i="2"/>
  <c r="B179" i="2"/>
  <c r="B180" i="2"/>
  <c r="B181" i="2"/>
  <c r="B183" i="2"/>
  <c r="B184" i="2"/>
  <c r="B185" i="2"/>
  <c r="B186" i="2"/>
  <c r="B187" i="2"/>
  <c r="B188" i="2"/>
  <c r="B189" i="2"/>
  <c r="B191" i="2"/>
  <c r="B192" i="2"/>
  <c r="B194" i="2"/>
  <c r="B195" i="2"/>
  <c r="B196" i="2"/>
  <c r="B197" i="2"/>
  <c r="B198" i="2"/>
  <c r="B199" i="2"/>
  <c r="B200" i="2"/>
  <c r="B201" i="2"/>
  <c r="B203" i="2"/>
  <c r="B204" i="2"/>
  <c r="B206" i="2"/>
  <c r="B207" i="2"/>
  <c r="B208" i="2"/>
  <c r="B209" i="2"/>
  <c r="B210" i="2"/>
  <c r="B211" i="2"/>
  <c r="B213" i="2"/>
  <c r="B214" i="2"/>
  <c r="B74" i="2"/>
  <c r="B75" i="2"/>
  <c r="B76" i="2"/>
  <c r="B77" i="2"/>
  <c r="B78" i="2"/>
  <c r="B79" i="2"/>
  <c r="B80" i="2"/>
  <c r="B81" i="2"/>
  <c r="B82" i="2"/>
  <c r="B83" i="2"/>
  <c r="B84" i="2"/>
  <c r="B61" i="2"/>
  <c r="B62" i="2"/>
  <c r="B63" i="2"/>
  <c r="B64" i="2"/>
  <c r="B65" i="2"/>
  <c r="B66" i="2"/>
  <c r="B67" i="2"/>
  <c r="B68" i="2"/>
  <c r="B69" i="2"/>
  <c r="B70" i="2"/>
  <c r="B71" i="2"/>
  <c r="B72" i="2"/>
  <c r="B48" i="2"/>
  <c r="B49" i="2"/>
  <c r="B50" i="2"/>
  <c r="B51" i="2"/>
  <c r="B52" i="2"/>
  <c r="B53" i="2"/>
  <c r="B54" i="2"/>
  <c r="B55" i="2"/>
  <c r="B56" i="2"/>
  <c r="B57" i="2"/>
  <c r="B58" i="2"/>
  <c r="B59" i="2"/>
  <c r="B40" i="2"/>
  <c r="B41" i="2"/>
  <c r="B42" i="2"/>
  <c r="B43" i="2"/>
  <c r="B44" i="2"/>
  <c r="B45" i="2"/>
  <c r="B46" i="2"/>
  <c r="B30" i="2"/>
  <c r="B31" i="2"/>
  <c r="B32" i="2"/>
  <c r="B33" i="2"/>
  <c r="B34" i="2"/>
  <c r="B35" i="2"/>
  <c r="B36" i="2"/>
  <c r="B37" i="2"/>
  <c r="B38" i="2"/>
  <c r="B29" i="2"/>
  <c r="B28" i="2"/>
  <c r="B27" i="2"/>
  <c r="B26" i="2"/>
  <c r="B25" i="2"/>
  <c r="B24" i="2"/>
  <c r="B23" i="2"/>
  <c r="B22" i="2"/>
  <c r="B21" i="2"/>
  <c r="B20" i="2"/>
  <c r="B19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C68" i="2" a="1"/>
  <c r="C87" i="2" a="1"/>
  <c r="C58" i="2" a="1"/>
  <c r="C13" i="2" a="1"/>
  <c r="C55" i="2" a="1"/>
  <c r="C119" i="2" a="1"/>
  <c r="C78" i="2" a="1"/>
  <c r="C129" i="2" a="1"/>
  <c r="C138" i="2" a="1"/>
  <c r="C147" i="2" a="1"/>
  <c r="C206" i="2" a="1"/>
  <c r="C163" i="2" a="1"/>
  <c r="C79" i="2" a="1"/>
  <c r="C57" i="2" a="1"/>
  <c r="C95" i="2" a="1"/>
  <c r="C187" i="2" a="1"/>
  <c r="C195" i="2" a="1"/>
  <c r="C161" i="2" a="1"/>
  <c r="C30" i="2" a="1"/>
  <c r="C141" i="2" a="1"/>
  <c r="C204" i="2" a="1"/>
  <c r="C70" i="2" a="1"/>
  <c r="C196" i="2" a="1"/>
  <c r="C44" i="2" a="1"/>
  <c r="C197" i="2" a="1"/>
  <c r="C60" i="2" a="1"/>
  <c r="C150" i="2" a="1"/>
  <c r="C71" i="2" a="1"/>
  <c r="C207" i="2" a="1"/>
  <c r="C64" i="2" a="1"/>
  <c r="C89" i="2" a="1"/>
  <c r="C63" i="2" a="1"/>
  <c r="C111" i="2" a="1"/>
  <c r="C96" i="2" a="1"/>
  <c r="C127" i="2" a="1"/>
  <c r="C130" i="2" a="1"/>
  <c r="C139" i="2" a="1"/>
  <c r="C188" i="2" a="1"/>
  <c r="C166" i="2" a="1"/>
  <c r="C69" i="2" a="1"/>
  <c r="C28" i="2" a="1"/>
  <c r="C170" i="2" a="1"/>
  <c r="C12" i="2" a="1"/>
  <c r="C199" i="2" a="1"/>
  <c r="C56" i="2" a="1"/>
  <c r="C192" i="2" a="1"/>
  <c r="C72" i="2" a="1"/>
  <c r="C103" i="2" a="1"/>
  <c r="C137" i="2" a="1"/>
  <c r="C81" i="2" a="1"/>
  <c r="C177" i="2" a="1"/>
  <c r="C156" i="2" a="1"/>
  <c r="C173" i="2" a="1"/>
  <c r="C46" i="2" a="1"/>
  <c r="C31" i="2" a="1"/>
  <c r="C20" i="2" a="1"/>
  <c r="C24" i="2" a="1"/>
  <c r="C16" i="2" a="1"/>
  <c r="C167" i="2" a="1"/>
  <c r="C4" i="2" a="1"/>
  <c r="C154" i="2" a="1"/>
  <c r="C29" i="2" a="1"/>
  <c r="C48" i="2" a="1"/>
  <c r="C184" i="2" a="1"/>
  <c r="C142" i="2" a="1"/>
  <c r="C200" i="2" a="1"/>
  <c r="C113" i="2" a="1"/>
  <c r="C88" i="2" a="1"/>
  <c r="C145" i="2" a="1"/>
  <c r="C104" i="2" a="1"/>
  <c r="C131" i="2" a="1"/>
  <c r="C172" i="2" a="1"/>
  <c r="C32" i="2" a="1"/>
  <c r="C6" i="2" a="1"/>
  <c r="C14" i="2" a="1"/>
  <c r="C120" i="2" a="1"/>
  <c r="C149" i="2" a="1"/>
  <c r="C176" i="2" a="1"/>
  <c r="C133" i="2" a="1"/>
  <c r="C82" i="2" a="1"/>
  <c r="C41" i="2" a="1"/>
  <c r="C80" i="2" a="1"/>
  <c r="C49" i="2" a="1"/>
  <c r="C114" i="2" a="1"/>
  <c r="C105" i="2" a="1"/>
  <c r="C61" i="2" a="1"/>
  <c r="C165" i="2" a="1"/>
  <c r="C8" i="2" a="1"/>
  <c r="C34" i="2" a="1"/>
  <c r="C50" i="2" a="1"/>
  <c r="C178" i="2" a="1"/>
  <c r="C40" i="2" a="1"/>
  <c r="C121" i="2" a="1"/>
  <c r="C74" i="2" a="1"/>
  <c r="C210" i="2" a="1"/>
  <c r="C90" i="2" a="1"/>
  <c r="C208" i="2" a="1"/>
  <c r="C97" i="2" a="1"/>
  <c r="C179" i="2" a="1"/>
  <c r="C201" i="2" a="1"/>
  <c r="C148" i="2" a="1"/>
  <c r="C9" i="2" a="1"/>
  <c r="C43" i="2" a="1"/>
  <c r="C205" i="2" a="1"/>
  <c r="C51" i="2" a="1"/>
  <c r="C151" i="2" a="1"/>
  <c r="C180" i="2" a="1"/>
  <c r="C23" i="2" a="1"/>
  <c r="C66" i="2" a="1"/>
  <c r="C202" i="2" a="1"/>
  <c r="C75" i="2" a="1"/>
  <c r="C181" i="2" a="1"/>
  <c r="C65" i="2" a="1"/>
  <c r="C106" i="2" a="1"/>
  <c r="C115" i="2" a="1"/>
  <c r="C122" i="2" a="1"/>
  <c r="C54" i="2" a="1"/>
  <c r="C35" i="2" a="1"/>
  <c r="C3" i="2" a="1"/>
  <c r="C134" i="2" a="1"/>
  <c r="C47" i="2" a="1"/>
  <c r="C153" i="2" a="1"/>
  <c r="C194" i="2" a="1"/>
  <c r="C67" i="2" a="1"/>
  <c r="C212" i="2" a="1"/>
  <c r="C83" i="2" a="1"/>
  <c r="C98" i="2" a="1"/>
  <c r="C91" i="2" a="1"/>
  <c r="C108" i="2" a="1"/>
  <c r="C211" i="2" a="1"/>
  <c r="C33" i="2" a="1"/>
  <c r="C19" i="2" a="1"/>
  <c r="C159" i="2" a="1"/>
  <c r="C39" i="2" a="1"/>
  <c r="C175" i="2" a="1"/>
  <c r="C18" i="2" a="1"/>
  <c r="C158" i="2" a="1"/>
  <c r="C174" i="2" a="1"/>
  <c r="C59" i="2" a="1"/>
  <c r="C164" i="2" a="1"/>
  <c r="C92" i="2" a="1"/>
  <c r="C77" i="2" a="1"/>
  <c r="C94" i="2" a="1"/>
  <c r="C107" i="2" a="1"/>
  <c r="C132" i="2" a="1"/>
  <c r="C123" i="2" a="1"/>
  <c r="C7" i="2" a="1"/>
  <c r="C117" i="2" a="1"/>
  <c r="C193" i="2" a="1"/>
  <c r="C203" i="2" a="1"/>
  <c r="C84" i="2" a="1"/>
  <c r="C198" i="2" a="1"/>
  <c r="C100" i="2" a="1"/>
  <c r="C99" i="2" a="1"/>
  <c r="C126" i="2" a="1"/>
  <c r="C213" i="2" a="1"/>
  <c r="C140" i="2" a="1"/>
  <c r="C191" i="2" a="1"/>
  <c r="C110" i="2" a="1"/>
  <c r="C136" i="2" a="1"/>
  <c r="C73" i="2" a="1"/>
  <c r="C152" i="2" a="1"/>
  <c r="C27" i="2" a="1"/>
  <c r="C5" i="2" a="1"/>
  <c r="C76" i="2" a="1"/>
  <c r="C102" i="2" a="1"/>
  <c r="C25" i="2" a="1"/>
  <c r="C45" i="2" a="1"/>
  <c r="C189" i="2" a="1"/>
  <c r="C124" i="2" a="1"/>
  <c r="C22" i="2" a="1"/>
  <c r="C118" i="2" a="1"/>
  <c r="C143" i="2" a="1"/>
  <c r="C128" i="2" a="1"/>
  <c r="C185" i="2" a="1"/>
  <c r="C144" i="2" a="1"/>
  <c r="C101" i="2" a="1"/>
  <c r="C125" i="2" a="1"/>
  <c r="C146" i="2" a="1"/>
  <c r="C85" i="2" a="1"/>
  <c r="C38" i="2" a="1"/>
  <c r="C11" i="2" a="1"/>
  <c r="C21" i="2" a="1"/>
  <c r="C116" i="2" a="1"/>
  <c r="C157" i="2" a="1"/>
  <c r="C15" i="2" a="1"/>
  <c r="C186" i="2" a="1"/>
  <c r="C109" i="2" a="1"/>
  <c r="C169" i="2" a="1"/>
  <c r="C93" i="2" a="1"/>
  <c r="C209" i="2" a="1"/>
  <c r="C42" i="2" a="1"/>
  <c r="C37" i="2" a="1"/>
  <c r="C135" i="2" a="1"/>
  <c r="C10" i="2" a="1"/>
  <c r="C162" i="2" a="1"/>
  <c r="C36" i="2" a="1"/>
  <c r="C2" i="2" a="1"/>
  <c r="C183" i="2" a="1"/>
  <c r="C17" i="2" a="1"/>
  <c r="C26" i="2" a="1"/>
  <c r="C190" i="2" a="1"/>
  <c r="C160" i="2" a="1"/>
  <c r="C112" i="2" a="1"/>
  <c r="C86" i="2" a="1"/>
  <c r="C53" i="2" a="1"/>
  <c r="C155" i="2" a="1"/>
  <c r="C62" i="2" a="1"/>
  <c r="C171" i="2" a="1"/>
  <c r="C52" i="2" a="1"/>
  <c r="C182" i="2" a="1"/>
  <c r="C214" i="2" a="1"/>
  <c r="C168" i="2" a="1"/>
  <c r="C3" i="2" l="1"/>
  <c r="E3" i="2" s="1"/>
  <c r="C166" i="2"/>
  <c r="C46" i="2"/>
  <c r="C165" i="2"/>
  <c r="C54" i="2"/>
  <c r="C118" i="2"/>
  <c r="C213" i="2"/>
  <c r="C157" i="2"/>
  <c r="C125" i="2"/>
  <c r="C45" i="2"/>
  <c r="C198" i="2"/>
  <c r="C102" i="2"/>
  <c r="C85" i="2"/>
  <c r="C190" i="2"/>
  <c r="C78" i="2"/>
  <c r="C197" i="2"/>
  <c r="C69" i="2"/>
  <c r="C196" i="2"/>
  <c r="C188" i="2"/>
  <c r="C172" i="2"/>
  <c r="C148" i="2"/>
  <c r="C140" i="2"/>
  <c r="C132" i="2"/>
  <c r="C124" i="2"/>
  <c r="C116" i="2"/>
  <c r="C100" i="2"/>
  <c r="C92" i="2"/>
  <c r="C84" i="2"/>
  <c r="C76" i="2"/>
  <c r="C68" i="2"/>
  <c r="C60" i="2"/>
  <c r="C52" i="2"/>
  <c r="C44" i="2"/>
  <c r="C206" i="2"/>
  <c r="C70" i="2"/>
  <c r="C173" i="2"/>
  <c r="C61" i="2"/>
  <c r="C180" i="2"/>
  <c r="C108" i="2"/>
  <c r="C126" i="2"/>
  <c r="C189" i="2"/>
  <c r="C77" i="2"/>
  <c r="C212" i="2"/>
  <c r="C164" i="2"/>
  <c r="C203" i="2"/>
  <c r="C195" i="2"/>
  <c r="C187" i="2"/>
  <c r="C171" i="2"/>
  <c r="C163" i="2"/>
  <c r="C155" i="2"/>
  <c r="C147" i="2"/>
  <c r="C139" i="2"/>
  <c r="C131" i="2"/>
  <c r="C123" i="2"/>
  <c r="C115" i="2"/>
  <c r="C107" i="2"/>
  <c r="C99" i="2"/>
  <c r="C83" i="2"/>
  <c r="C75" i="2"/>
  <c r="C67" i="2"/>
  <c r="C59" i="2"/>
  <c r="C51" i="2"/>
  <c r="C43" i="2"/>
  <c r="C174" i="2"/>
  <c r="C62" i="2"/>
  <c r="C149" i="2"/>
  <c r="C53" i="2"/>
  <c r="C204" i="2"/>
  <c r="C156" i="2"/>
  <c r="C211" i="2"/>
  <c r="C179" i="2"/>
  <c r="C91" i="2"/>
  <c r="C94" i="2"/>
  <c r="C181" i="2"/>
  <c r="C210" i="2"/>
  <c r="C202" i="2"/>
  <c r="C194" i="2"/>
  <c r="C186" i="2"/>
  <c r="C178" i="2"/>
  <c r="C170" i="2"/>
  <c r="C162" i="2"/>
  <c r="C154" i="2"/>
  <c r="C146" i="2"/>
  <c r="C138" i="2"/>
  <c r="C130" i="2"/>
  <c r="C122" i="2"/>
  <c r="C114" i="2"/>
  <c r="C106" i="2"/>
  <c r="C98" i="2"/>
  <c r="C90" i="2"/>
  <c r="C82" i="2"/>
  <c r="C74" i="2"/>
  <c r="C66" i="2"/>
  <c r="C58" i="2"/>
  <c r="C50" i="2"/>
  <c r="C42" i="2"/>
  <c r="C158" i="2"/>
  <c r="C93" i="2"/>
  <c r="C214" i="2"/>
  <c r="C86" i="2"/>
  <c r="C141" i="2"/>
  <c r="C201" i="2"/>
  <c r="C145" i="2"/>
  <c r="C97" i="2"/>
  <c r="C65" i="2"/>
  <c r="C41" i="2"/>
  <c r="C142" i="2"/>
  <c r="C133" i="2"/>
  <c r="C121" i="2"/>
  <c r="C134" i="2"/>
  <c r="C205" i="2"/>
  <c r="C101" i="2"/>
  <c r="C209" i="2"/>
  <c r="C185" i="2"/>
  <c r="C169" i="2"/>
  <c r="C153" i="2"/>
  <c r="C129" i="2"/>
  <c r="C105" i="2"/>
  <c r="C81" i="2"/>
  <c r="C49" i="2"/>
  <c r="C208" i="2"/>
  <c r="C200" i="2"/>
  <c r="C192" i="2"/>
  <c r="C184" i="2"/>
  <c r="C176" i="2"/>
  <c r="C168" i="2"/>
  <c r="C160" i="2"/>
  <c r="C152" i="2"/>
  <c r="C144" i="2"/>
  <c r="C136" i="2"/>
  <c r="C128" i="2"/>
  <c r="C120" i="2"/>
  <c r="C112" i="2"/>
  <c r="C104" i="2"/>
  <c r="C96" i="2"/>
  <c r="C88" i="2"/>
  <c r="C80" i="2"/>
  <c r="C72" i="2"/>
  <c r="C64" i="2"/>
  <c r="C56" i="2"/>
  <c r="C48" i="2"/>
  <c r="C40" i="2"/>
  <c r="C150" i="2"/>
  <c r="C117" i="2"/>
  <c r="C73" i="2"/>
  <c r="C182" i="2"/>
  <c r="C110" i="2"/>
  <c r="C109" i="2"/>
  <c r="C193" i="2"/>
  <c r="C177" i="2"/>
  <c r="C161" i="2"/>
  <c r="C137" i="2"/>
  <c r="C113" i="2"/>
  <c r="C89" i="2"/>
  <c r="C57" i="2"/>
  <c r="C207" i="2"/>
  <c r="C199" i="2"/>
  <c r="C191" i="2"/>
  <c r="C183" i="2"/>
  <c r="C175" i="2"/>
  <c r="C167" i="2"/>
  <c r="C159" i="2"/>
  <c r="C151" i="2"/>
  <c r="C143" i="2"/>
  <c r="C135" i="2"/>
  <c r="C127" i="2"/>
  <c r="C119" i="2"/>
  <c r="C111" i="2"/>
  <c r="C103" i="2"/>
  <c r="C95" i="2"/>
  <c r="C87" i="2"/>
  <c r="C79" i="2"/>
  <c r="C71" i="2"/>
  <c r="C63" i="2"/>
  <c r="C55" i="2"/>
  <c r="C47" i="2"/>
  <c r="C39" i="2"/>
  <c r="C35" i="2"/>
  <c r="C24" i="2"/>
  <c r="C34" i="2"/>
  <c r="C31" i="2"/>
  <c r="C32" i="2"/>
  <c r="C26" i="2"/>
  <c r="C33" i="2"/>
  <c r="C23" i="2"/>
  <c r="C22" i="2"/>
  <c r="C37" i="2"/>
  <c r="C29" i="2"/>
  <c r="C21" i="2"/>
  <c r="C25" i="2"/>
  <c r="C38" i="2"/>
  <c r="C27" i="2"/>
  <c r="C30" i="2"/>
  <c r="C36" i="2"/>
  <c r="C28" i="2"/>
  <c r="C20" i="2"/>
  <c r="C7" i="2"/>
  <c r="C16" i="2"/>
  <c r="C14" i="2"/>
  <c r="C6" i="2"/>
  <c r="C8" i="2"/>
  <c r="C9" i="2"/>
  <c r="C13" i="2"/>
  <c r="C5" i="2"/>
  <c r="C15" i="2"/>
  <c r="C17" i="2"/>
  <c r="C12" i="2"/>
  <c r="C4" i="2"/>
  <c r="C11" i="2"/>
  <c r="C18" i="2"/>
  <c r="C10" i="2"/>
  <c r="C2" i="2"/>
  <c r="C19" i="2"/>
  <c r="E39" i="2" l="1"/>
  <c r="D39" i="2"/>
  <c r="E163" i="2"/>
  <c r="D163" i="2"/>
  <c r="E27" i="2"/>
  <c r="D27" i="2"/>
  <c r="E101" i="2"/>
  <c r="D101" i="2"/>
  <c r="E43" i="2"/>
  <c r="D43" i="2"/>
  <c r="E167" i="2"/>
  <c r="D167" i="2"/>
  <c r="E69" i="2"/>
  <c r="D69" i="2"/>
  <c r="D175" i="2"/>
  <c r="E175" i="2"/>
  <c r="E60" i="2"/>
  <c r="D60" i="2"/>
  <c r="D30" i="2"/>
  <c r="E30" i="2"/>
  <c r="D209" i="2"/>
  <c r="E209" i="2"/>
  <c r="D62" i="2"/>
  <c r="E62" i="2"/>
  <c r="E4" i="2"/>
  <c r="D4" i="2"/>
  <c r="E42" i="2"/>
  <c r="D42" i="2"/>
  <c r="E178" i="2"/>
  <c r="D178" i="2"/>
  <c r="E73" i="2"/>
  <c r="D73" i="2"/>
  <c r="D158" i="2"/>
  <c r="E158" i="2"/>
  <c r="D44" i="2"/>
  <c r="E44" i="2"/>
  <c r="D47" i="2"/>
  <c r="E47" i="2"/>
  <c r="E170" i="2"/>
  <c r="D170" i="2"/>
  <c r="E171" i="2"/>
  <c r="D171" i="2"/>
  <c r="E55" i="2"/>
  <c r="D55" i="2"/>
  <c r="D78" i="2"/>
  <c r="E78" i="2"/>
  <c r="E25" i="2"/>
  <c r="D25" i="2"/>
  <c r="D191" i="2"/>
  <c r="E191" i="2"/>
  <c r="E40" i="2"/>
  <c r="D40" i="2"/>
  <c r="E134" i="2"/>
  <c r="D134" i="2"/>
  <c r="E58" i="2"/>
  <c r="D58" i="2"/>
  <c r="E51" i="2"/>
  <c r="D51" i="2"/>
  <c r="E68" i="2"/>
  <c r="D68" i="2"/>
  <c r="E71" i="2"/>
  <c r="D71" i="2"/>
  <c r="E121" i="2"/>
  <c r="D121" i="2"/>
  <c r="E203" i="2"/>
  <c r="D203" i="2"/>
  <c r="D29" i="2"/>
  <c r="E29" i="2"/>
  <c r="E102" i="2"/>
  <c r="D102" i="2"/>
  <c r="D13" i="2"/>
  <c r="E13" i="2"/>
  <c r="E87" i="2"/>
  <c r="D87" i="2"/>
  <c r="D192" i="2"/>
  <c r="E192" i="2"/>
  <c r="E181" i="2"/>
  <c r="D181" i="2"/>
  <c r="D144" i="2"/>
  <c r="E144" i="2"/>
  <c r="E117" i="2"/>
  <c r="D117" i="2"/>
  <c r="D174" i="2"/>
  <c r="E174" i="2"/>
  <c r="E197" i="2"/>
  <c r="D197" i="2"/>
  <c r="E12" i="2"/>
  <c r="D12" i="2"/>
  <c r="E183" i="2"/>
  <c r="D183" i="2"/>
  <c r="D160" i="2"/>
  <c r="E160" i="2"/>
  <c r="D205" i="2"/>
  <c r="E205" i="2"/>
  <c r="E50" i="2"/>
  <c r="D50" i="2"/>
  <c r="E187" i="2"/>
  <c r="D187" i="2"/>
  <c r="D63" i="2"/>
  <c r="E63" i="2"/>
  <c r="E168" i="2"/>
  <c r="D168" i="2"/>
  <c r="E186" i="2"/>
  <c r="D186" i="2"/>
  <c r="D190" i="2"/>
  <c r="E190" i="2"/>
  <c r="D15" i="2"/>
  <c r="E15" i="2"/>
  <c r="D48" i="2"/>
  <c r="E48" i="2"/>
  <c r="E66" i="2"/>
  <c r="D66" i="2"/>
  <c r="E59" i="2"/>
  <c r="D59" i="2"/>
  <c r="E76" i="2"/>
  <c r="D76" i="2"/>
  <c r="D207" i="2"/>
  <c r="E207" i="2"/>
  <c r="E184" i="2"/>
  <c r="D184" i="2"/>
  <c r="E74" i="2"/>
  <c r="D74" i="2"/>
  <c r="E164" i="2"/>
  <c r="D164" i="2"/>
  <c r="E37" i="2"/>
  <c r="D37" i="2"/>
  <c r="D64" i="2"/>
  <c r="E64" i="2"/>
  <c r="D142" i="2"/>
  <c r="E142" i="2"/>
  <c r="E210" i="2"/>
  <c r="D210" i="2"/>
  <c r="E75" i="2"/>
  <c r="D75" i="2"/>
  <c r="E212" i="2"/>
  <c r="D212" i="2"/>
  <c r="E92" i="2"/>
  <c r="D92" i="2"/>
  <c r="E9" i="2"/>
  <c r="D9" i="2"/>
  <c r="E89" i="2"/>
  <c r="D89" i="2"/>
  <c r="E41" i="2"/>
  <c r="D41" i="2"/>
  <c r="E83" i="2"/>
  <c r="D83" i="2"/>
  <c r="E100" i="2"/>
  <c r="D100" i="2"/>
  <c r="E8" i="2"/>
  <c r="D8" i="2"/>
  <c r="E103" i="2"/>
  <c r="D103" i="2"/>
  <c r="D80" i="2"/>
  <c r="E80" i="2"/>
  <c r="D65" i="2"/>
  <c r="E65" i="2"/>
  <c r="E99" i="2"/>
  <c r="D99" i="2"/>
  <c r="E125" i="2"/>
  <c r="D125" i="2"/>
  <c r="E6" i="2"/>
  <c r="D6" i="2"/>
  <c r="D33" i="2"/>
  <c r="E33" i="2"/>
  <c r="D111" i="2"/>
  <c r="E111" i="2"/>
  <c r="E137" i="2"/>
  <c r="D137" i="2"/>
  <c r="E88" i="2"/>
  <c r="D88" i="2"/>
  <c r="E97" i="2"/>
  <c r="D97" i="2"/>
  <c r="E106" i="2"/>
  <c r="D106" i="2"/>
  <c r="E91" i="2"/>
  <c r="D91" i="2"/>
  <c r="E107" i="2"/>
  <c r="D107" i="2"/>
  <c r="D126" i="2"/>
  <c r="E126" i="2"/>
  <c r="D124" i="2"/>
  <c r="E124" i="2"/>
  <c r="D14" i="2"/>
  <c r="E14" i="2"/>
  <c r="E119" i="2"/>
  <c r="D119" i="2"/>
  <c r="E81" i="2"/>
  <c r="D81" i="2"/>
  <c r="E115" i="2"/>
  <c r="D115" i="2"/>
  <c r="E132" i="2"/>
  <c r="D132" i="2"/>
  <c r="D32" i="2"/>
  <c r="E32" i="2"/>
  <c r="E122" i="2"/>
  <c r="D122" i="2"/>
  <c r="E118" i="2"/>
  <c r="D118" i="2"/>
  <c r="E7" i="2"/>
  <c r="D7" i="2"/>
  <c r="D110" i="2"/>
  <c r="E110" i="2"/>
  <c r="E146" i="2"/>
  <c r="D146" i="2"/>
  <c r="E53" i="2"/>
  <c r="D53" i="2"/>
  <c r="E147" i="2"/>
  <c r="D147" i="2"/>
  <c r="E70" i="2"/>
  <c r="D70" i="2"/>
  <c r="D188" i="2"/>
  <c r="E188" i="2"/>
  <c r="D46" i="2"/>
  <c r="E46" i="2"/>
  <c r="E11" i="2"/>
  <c r="D11" i="2"/>
  <c r="E162" i="2"/>
  <c r="D162" i="2"/>
  <c r="E152" i="2"/>
  <c r="D152" i="2"/>
  <c r="E52" i="2"/>
  <c r="D52" i="2"/>
  <c r="E38" i="2"/>
  <c r="D38" i="2"/>
  <c r="E150" i="2"/>
  <c r="D150" i="2"/>
  <c r="D17" i="2"/>
  <c r="E17" i="2"/>
  <c r="E195" i="2"/>
  <c r="D195" i="2"/>
  <c r="E21" i="2"/>
  <c r="D21" i="2"/>
  <c r="E199" i="2"/>
  <c r="D199" i="2"/>
  <c r="D176" i="2"/>
  <c r="E176" i="2"/>
  <c r="E194" i="2"/>
  <c r="D194" i="2"/>
  <c r="E85" i="2"/>
  <c r="D85" i="2"/>
  <c r="E5" i="2"/>
  <c r="D5" i="2"/>
  <c r="D79" i="2"/>
  <c r="E79" i="2"/>
  <c r="E56" i="2"/>
  <c r="D56" i="2"/>
  <c r="E133" i="2"/>
  <c r="D133" i="2"/>
  <c r="E202" i="2"/>
  <c r="D202" i="2"/>
  <c r="E67" i="2"/>
  <c r="D67" i="2"/>
  <c r="E84" i="2"/>
  <c r="D84" i="2"/>
  <c r="E57" i="2"/>
  <c r="D57" i="2"/>
  <c r="E82" i="2"/>
  <c r="D82" i="2"/>
  <c r="E198" i="2"/>
  <c r="D198" i="2"/>
  <c r="E22" i="2"/>
  <c r="D22" i="2"/>
  <c r="D95" i="2"/>
  <c r="E95" i="2"/>
  <c r="E72" i="2"/>
  <c r="D72" i="2"/>
  <c r="E200" i="2"/>
  <c r="D200" i="2"/>
  <c r="E90" i="2"/>
  <c r="D90" i="2"/>
  <c r="D77" i="2"/>
  <c r="E77" i="2"/>
  <c r="D45" i="2"/>
  <c r="E45" i="2"/>
  <c r="E23" i="2"/>
  <c r="D23" i="2"/>
  <c r="D113" i="2"/>
  <c r="E113" i="2"/>
  <c r="D208" i="2"/>
  <c r="E208" i="2"/>
  <c r="E98" i="2"/>
  <c r="D98" i="2"/>
  <c r="D94" i="2"/>
  <c r="E94" i="2"/>
  <c r="D189" i="2"/>
  <c r="E189" i="2"/>
  <c r="E116" i="2"/>
  <c r="D116" i="2"/>
  <c r="D49" i="2"/>
  <c r="E49" i="2"/>
  <c r="D157" i="2"/>
  <c r="E157" i="2"/>
  <c r="E26" i="2"/>
  <c r="D26" i="2"/>
  <c r="D161" i="2"/>
  <c r="E161" i="2"/>
  <c r="D96" i="2"/>
  <c r="E96" i="2"/>
  <c r="D145" i="2"/>
  <c r="E145" i="2"/>
  <c r="E114" i="2"/>
  <c r="D114" i="2"/>
  <c r="E179" i="2"/>
  <c r="D179" i="2"/>
  <c r="D108" i="2"/>
  <c r="E108" i="2"/>
  <c r="E213" i="2"/>
  <c r="D213" i="2"/>
  <c r="E16" i="2"/>
  <c r="D16" i="2"/>
  <c r="D127" i="2"/>
  <c r="E127" i="2"/>
  <c r="D177" i="2"/>
  <c r="E177" i="2"/>
  <c r="E104" i="2"/>
  <c r="D104" i="2"/>
  <c r="E105" i="2"/>
  <c r="D105" i="2"/>
  <c r="E201" i="2"/>
  <c r="D201" i="2"/>
  <c r="E211" i="2"/>
  <c r="D211" i="2"/>
  <c r="E123" i="2"/>
  <c r="D123" i="2"/>
  <c r="E180" i="2"/>
  <c r="D180" i="2"/>
  <c r="D140" i="2"/>
  <c r="E140" i="2"/>
  <c r="E19" i="2"/>
  <c r="D19" i="2"/>
  <c r="D31" i="2"/>
  <c r="E31" i="2"/>
  <c r="E135" i="2"/>
  <c r="D135" i="2"/>
  <c r="D193" i="2"/>
  <c r="E193" i="2"/>
  <c r="D112" i="2"/>
  <c r="E112" i="2"/>
  <c r="D129" i="2"/>
  <c r="E129" i="2"/>
  <c r="E141" i="2"/>
  <c r="D141" i="2"/>
  <c r="E130" i="2"/>
  <c r="D130" i="2"/>
  <c r="D156" i="2"/>
  <c r="E156" i="2"/>
  <c r="E131" i="2"/>
  <c r="D131" i="2"/>
  <c r="E61" i="2"/>
  <c r="D61" i="2"/>
  <c r="E148" i="2"/>
  <c r="D148" i="2"/>
  <c r="E54" i="2"/>
  <c r="D54" i="2"/>
  <c r="E2" i="2"/>
  <c r="D2" i="2"/>
  <c r="E20" i="2"/>
  <c r="D20" i="2"/>
  <c r="E34" i="2"/>
  <c r="D34" i="2"/>
  <c r="D143" i="2"/>
  <c r="E143" i="2"/>
  <c r="D109" i="2"/>
  <c r="E109" i="2"/>
  <c r="E120" i="2"/>
  <c r="D120" i="2"/>
  <c r="E153" i="2"/>
  <c r="D153" i="2"/>
  <c r="E86" i="2"/>
  <c r="D86" i="2"/>
  <c r="E138" i="2"/>
  <c r="D138" i="2"/>
  <c r="D204" i="2"/>
  <c r="E204" i="2"/>
  <c r="E139" i="2"/>
  <c r="D139" i="2"/>
  <c r="D173" i="2"/>
  <c r="E173" i="2"/>
  <c r="D172" i="2"/>
  <c r="E172" i="2"/>
  <c r="E165" i="2"/>
  <c r="D165" i="2"/>
  <c r="E10" i="2"/>
  <c r="D10" i="2"/>
  <c r="D28" i="2"/>
  <c r="E28" i="2"/>
  <c r="E24" i="2"/>
  <c r="D24" i="2"/>
  <c r="E151" i="2"/>
  <c r="D151" i="2"/>
  <c r="D128" i="2"/>
  <c r="E128" i="2"/>
  <c r="E169" i="2"/>
  <c r="D169" i="2"/>
  <c r="E214" i="2"/>
  <c r="D214" i="2"/>
  <c r="E18" i="2"/>
  <c r="D18" i="2"/>
  <c r="E36" i="2"/>
  <c r="D36" i="2"/>
  <c r="E35" i="2"/>
  <c r="D35" i="2"/>
  <c r="D159" i="2"/>
  <c r="E159" i="2"/>
  <c r="E182" i="2"/>
  <c r="D182" i="2"/>
  <c r="E136" i="2"/>
  <c r="D136" i="2"/>
  <c r="E185" i="2"/>
  <c r="D185" i="2"/>
  <c r="D93" i="2"/>
  <c r="E93" i="2"/>
  <c r="E154" i="2"/>
  <c r="D154" i="2"/>
  <c r="E149" i="2"/>
  <c r="D149" i="2"/>
  <c r="E155" i="2"/>
  <c r="D155" i="2"/>
  <c r="D206" i="2"/>
  <c r="E206" i="2"/>
  <c r="E196" i="2"/>
  <c r="D196" i="2"/>
  <c r="E166" i="2"/>
  <c r="D166" i="2"/>
  <c r="D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<sst xmlns="http://schemas.openxmlformats.org/spreadsheetml/2006/main" count="1244" uniqueCount="575">
  <si>
    <t>Electronica</t>
  </si>
  <si>
    <t>Accesorios de alimentación (22)</t>
  </si>
  <si>
    <t>Radiocomunicación (13)</t>
  </si>
  <si>
    <t>GPS y accesorios (11)</t>
  </si>
  <si>
    <t>Pilas y cargadores (11)</t>
  </si>
  <si>
    <t>Telefonía fija y accesorios (7)</t>
  </si>
  <si>
    <t>Electrónica (5)</t>
  </si>
  <si>
    <t>Lectores de eBooks y accesorios (2)</t>
  </si>
  <si>
    <t>Hogar y cocina (1016)</t>
  </si>
  <si>
    <t>Bricolaje y herramientas (466)</t>
  </si>
  <si>
    <t>Industria, empresas y ciencia (162)</t>
  </si>
  <si>
    <t>Jardín (141)</t>
  </si>
  <si>
    <t>Juguetes y juegos (114)</t>
  </si>
  <si>
    <t>Iluminación (83)</t>
  </si>
  <si>
    <t>Productos para mascotas (55)</t>
  </si>
  <si>
    <t>Bebé (46)</t>
  </si>
  <si>
    <t>Salud y cuidado personal (43)</t>
  </si>
  <si>
    <t>Videojuegos (33)</t>
  </si>
  <si>
    <t>Grandes electrodomésticos (29)</t>
  </si>
  <si>
    <t>Instrumentos musicales (21)</t>
  </si>
  <si>
    <t>Belleza (18)</t>
  </si>
  <si>
    <t>Otros Productos (3)</t>
  </si>
  <si>
    <t>Accesorios de alimentación</t>
  </si>
  <si>
    <t>Radiocomunicación</t>
  </si>
  <si>
    <t>GPS y accesorios</t>
  </si>
  <si>
    <t>Pilas y cargadores</t>
  </si>
  <si>
    <t>Telefonía fija y accesorios</t>
  </si>
  <si>
    <t>Electrónica</t>
  </si>
  <si>
    <t>Lectores de eBooks y accesorios</t>
  </si>
  <si>
    <t>Hogar y cocina</t>
  </si>
  <si>
    <t>Informática</t>
  </si>
  <si>
    <t>Bricolaje y herramientas</t>
  </si>
  <si>
    <t>Coche y moto</t>
  </si>
  <si>
    <t>Moda</t>
  </si>
  <si>
    <t>Deportes y aire libre</t>
  </si>
  <si>
    <t>Industria, empresas y ciencia</t>
  </si>
  <si>
    <t>Jardín</t>
  </si>
  <si>
    <t>Juguetes y juegos</t>
  </si>
  <si>
    <t>Oficina y papelería</t>
  </si>
  <si>
    <t>Iluminación</t>
  </si>
  <si>
    <t>Productos para mascotas</t>
  </si>
  <si>
    <t>Bebé</t>
  </si>
  <si>
    <t>Salud y cuidado personal</t>
  </si>
  <si>
    <t>Videojuegos</t>
  </si>
  <si>
    <t>Grandes electrodomésticos</t>
  </si>
  <si>
    <t>Instrumentos musicales</t>
  </si>
  <si>
    <t>Alimentación y bebidas</t>
  </si>
  <si>
    <t>Belleza</t>
  </si>
  <si>
    <t>Otros Productos</t>
  </si>
  <si>
    <t>Tecnología para vestir (295)</t>
  </si>
  <si>
    <t>Auriculares y accesorios (136)</t>
  </si>
  <si>
    <t>TV, vídeo y home cinema (113)</t>
  </si>
  <si>
    <t>Equipos de audio y Hi-Fi (35)</t>
  </si>
  <si>
    <t>Audio y vídeo portátil (32)</t>
  </si>
  <si>
    <t>Electrónica para vehículos (32)</t>
  </si>
  <si>
    <t>Comunicación móvil y accesorios</t>
  </si>
  <si>
    <t>Tecnología para vestir</t>
  </si>
  <si>
    <t>Auriculares y accesorios</t>
  </si>
  <si>
    <t>TV, vídeo y home cinema</t>
  </si>
  <si>
    <t>Fotografía y videocámaras</t>
  </si>
  <si>
    <t>Equipos de audio y Hi-Fi</t>
  </si>
  <si>
    <t>Audio y vídeo portátil</t>
  </si>
  <si>
    <t>Electrónica para vehículos</t>
  </si>
  <si>
    <t>Tipo</t>
  </si>
  <si>
    <t>Sub-Tipo</t>
  </si>
  <si>
    <t>Tipo_Total</t>
  </si>
  <si>
    <t>Codigo</t>
  </si>
  <si>
    <t>Costura y manualidades (359)</t>
  </si>
  <si>
    <t>Aspiración, limpieza y cuidado de suelo y ventanas (251)</t>
  </si>
  <si>
    <t>Decoración del hogar (123)</t>
  </si>
  <si>
    <t>Climatización y calefacción (64)</t>
  </si>
  <si>
    <t>Pequeño electrodoméstico (51)</t>
  </si>
  <si>
    <t>Utensilios (25)</t>
  </si>
  <si>
    <t>Cubertería, vajilla y cristalería (22)</t>
  </si>
  <si>
    <t>Repostería (18)</t>
  </si>
  <si>
    <t>Almacenamiento y organización (18)</t>
  </si>
  <si>
    <t>Productos y utensilios de limpieza (18)</t>
  </si>
  <si>
    <t>Almacenamiento de cocina y despensa (16)</t>
  </si>
  <si>
    <t>Baño (14)</t>
  </si>
  <si>
    <t>Muebles (8)</t>
  </si>
  <si>
    <t>Textiles del hogar (8)</t>
  </si>
  <si>
    <t>Café y té (7)</t>
  </si>
  <si>
    <t>Menaje de cocina (6)</t>
  </si>
  <si>
    <t>Hogar y cocina (3)</t>
  </si>
  <si>
    <t>Obras de arte y material decorativo (3)</t>
  </si>
  <si>
    <t>Fabricación de cerveza y vino (2)</t>
  </si>
  <si>
    <t>Costura y manualidades</t>
  </si>
  <si>
    <t>Aspiración, limpieza y cuidado de suelo y ventanas</t>
  </si>
  <si>
    <t>Decoración del hogar</t>
  </si>
  <si>
    <t>Climatización y calefacción</t>
  </si>
  <si>
    <t>Pequeño electrodoméstico</t>
  </si>
  <si>
    <t>Utensilios</t>
  </si>
  <si>
    <t>Cubertería, vajilla y cristalería</t>
  </si>
  <si>
    <t>Repostería</t>
  </si>
  <si>
    <t>Almacenamiento y organización</t>
  </si>
  <si>
    <t>Productos y utensilios de limpieza</t>
  </si>
  <si>
    <t>Almacenamiento de cocina y despensa</t>
  </si>
  <si>
    <t>Baño</t>
  </si>
  <si>
    <t>Muebles</t>
  </si>
  <si>
    <t>Textiles del hogar</t>
  </si>
  <si>
    <t>Café y té</t>
  </si>
  <si>
    <t>Menaje de cocina</t>
  </si>
  <si>
    <t>Obras de arte y material decorativo</t>
  </si>
  <si>
    <t>Fabricación de cerveza y vino</t>
  </si>
  <si>
    <t>Informática (476)</t>
  </si>
  <si>
    <t>Accesorios (231)</t>
  </si>
  <si>
    <t>Impresoras y accesorios (220)</t>
  </si>
  <si>
    <t>Componentes (17)</t>
  </si>
  <si>
    <t>Dispositivos de red (6)</t>
  </si>
  <si>
    <t>Almacenamiento de datos (1)</t>
  </si>
  <si>
    <t>Escáneres y accesorios (1)</t>
  </si>
  <si>
    <t>Accesorios</t>
  </si>
  <si>
    <t>Impresoras y accesorios</t>
  </si>
  <si>
    <t>Componentes</t>
  </si>
  <si>
    <t>Dispositivos de red</t>
  </si>
  <si>
    <t>Almacenamiento de datos</t>
  </si>
  <si>
    <t>Escáneres y accesorios</t>
  </si>
  <si>
    <t>Ferretería (225)</t>
  </si>
  <si>
    <t>Herramientas manuales y eléctricas (58)</t>
  </si>
  <si>
    <t>Pinturas, herramientas y tratamiento de paredes (49)</t>
  </si>
  <si>
    <t>Suministros de construcción (35)</t>
  </si>
  <si>
    <t>Prevención y seguridad (34)</t>
  </si>
  <si>
    <t>Instalación eléctrica (26)</t>
  </si>
  <si>
    <t>Fontanería (19)</t>
  </si>
  <si>
    <t>Instalación de baño y cocina (13)</t>
  </si>
  <si>
    <t>Organización y almacenaje en casa (3)</t>
  </si>
  <si>
    <t>Bricolaje y herramientas (2)</t>
  </si>
  <si>
    <t>Chimeneas y accesorios (2)</t>
  </si>
  <si>
    <t>Ferretería</t>
  </si>
  <si>
    <t>Herramientas manuales y eléctricas</t>
  </si>
  <si>
    <t>Pinturas, herramientas y tratamiento de paredes</t>
  </si>
  <si>
    <t>Suministros de construcción</t>
  </si>
  <si>
    <t>Prevención y seguridad</t>
  </si>
  <si>
    <t>Instalación eléctrica</t>
  </si>
  <si>
    <t>Fontanería</t>
  </si>
  <si>
    <t>Instalación de baño y cocina</t>
  </si>
  <si>
    <t>Organización y almacenaje en casa</t>
  </si>
  <si>
    <t>Chimeneas y accesorios</t>
  </si>
  <si>
    <t>Coche y moto (463)</t>
  </si>
  <si>
    <t>Motos, accesorios y piezas (187)</t>
  </si>
  <si>
    <t>Piezas para coche (149)</t>
  </si>
  <si>
    <t>Accesorios para coche (75)</t>
  </si>
  <si>
    <t>Herramientas para coche (22)</t>
  </si>
  <si>
    <t>Neumáticos y llantas (7)</t>
  </si>
  <si>
    <t>Productos para aficionados (7)</t>
  </si>
  <si>
    <t>Transporte y almacenamiento (6)</t>
  </si>
  <si>
    <t>Cuidado de coche y moto (4)</t>
  </si>
  <si>
    <t>Piezas y repuestos para caravanas (4)</t>
  </si>
  <si>
    <t>Coche y moto (1)</t>
  </si>
  <si>
    <t>Piezas y equipo de vehículos agrícolas (1)</t>
  </si>
  <si>
    <t>Motos, accesorios y piezas</t>
  </si>
  <si>
    <t>Piezas para coche</t>
  </si>
  <si>
    <t>Accesorios para coche</t>
  </si>
  <si>
    <t>Herramientas para coche</t>
  </si>
  <si>
    <t>Neumáticos y llantas</t>
  </si>
  <si>
    <t>Productos para aficionados</t>
  </si>
  <si>
    <t>Transporte y almacenamiento</t>
  </si>
  <si>
    <t>Cuidado de coche y moto</t>
  </si>
  <si>
    <t>Piezas y repuestos para caravanas</t>
  </si>
  <si>
    <t>Piezas y equipo de vehículos agrícolas</t>
  </si>
  <si>
    <t>Moda (176)</t>
  </si>
  <si>
    <t>Equipaje y accesorios de viaje (53)</t>
  </si>
  <si>
    <t>Mujer (42)</t>
  </si>
  <si>
    <t>Hombre (27)</t>
  </si>
  <si>
    <t>Accesorios para calzado, relojes y joyería (19)</t>
  </si>
  <si>
    <t>Ropa divertida y de uso especial (12)</t>
  </si>
  <si>
    <t>Niña (10)</t>
  </si>
  <si>
    <t>Bisutería barata (8)</t>
  </si>
  <si>
    <t>Niño (2)</t>
  </si>
  <si>
    <t>Bebé (2)</t>
  </si>
  <si>
    <t>Ropa específica deportiva (1)</t>
  </si>
  <si>
    <t>Equipaje y accesorios de viaje</t>
  </si>
  <si>
    <t>Mujer</t>
  </si>
  <si>
    <t>Hombre</t>
  </si>
  <si>
    <t>Accesorios para calzado, relojes y joyería</t>
  </si>
  <si>
    <t>Ropa divertida y de uso especial</t>
  </si>
  <si>
    <t>Niña</t>
  </si>
  <si>
    <t>Bisutería barata</t>
  </si>
  <si>
    <t>Niño</t>
  </si>
  <si>
    <t>Ropa específica deportiva</t>
  </si>
  <si>
    <t>Deportes y aire libre (171)</t>
  </si>
  <si>
    <t>Deportes (104)</t>
  </si>
  <si>
    <t>Electrónica y dispositivos (26)</t>
  </si>
  <si>
    <t>Ocio al aire libre (16)</t>
  </si>
  <si>
    <t>Fitness y ejercicio (8)</t>
  </si>
  <si>
    <t>Caza y pesca (6)</t>
  </si>
  <si>
    <t>Productos para fans (4)</t>
  </si>
  <si>
    <t>Accesorios para deportes y ocio al aire libre (4)</t>
  </si>
  <si>
    <t>Ropa deportiva (2)</t>
  </si>
  <si>
    <t>Deportes y aire libre (1)</t>
  </si>
  <si>
    <t>Hidráulica, neumática y fontanería (38)</t>
  </si>
  <si>
    <t>Energía solar y eólica (20)</t>
  </si>
  <si>
    <t>Eléctrica industrial (18)</t>
  </si>
  <si>
    <t>Artículos y equipo de servicio para la restauración (11)</t>
  </si>
  <si>
    <t>Test y medición (10)</t>
  </si>
  <si>
    <t>Equipos y suministros agrícolas (10)</t>
  </si>
  <si>
    <t>Impresión y escaneo 3D (8)</t>
  </si>
  <si>
    <t>Productos de laboratorio y ciencias (8)</t>
  </si>
  <si>
    <t>Suministros de limpieza y saneamiento (8)</t>
  </si>
  <si>
    <t>Productos de transmisión de energía (7)</t>
  </si>
  <si>
    <t>Manutención (5)</t>
  </si>
  <si>
    <t>Materias primas (5)</t>
  </si>
  <si>
    <t>Industria, empresas y ciencia (3)</t>
  </si>
  <si>
    <t>Suministros de empaquetado y envío (3)</t>
  </si>
  <si>
    <t>Productos abrasivos y de acabado (2)</t>
  </si>
  <si>
    <t>Herramientas eléctricas y de mano (2)</t>
  </si>
  <si>
    <t>Salud ocupacional y productos de seguridad (2)</t>
  </si>
  <si>
    <t>Suministros médicos profesionales (2)</t>
  </si>
  <si>
    <t>Cortacéspedes y herramientas eléctricas para exteriores (56)</t>
  </si>
  <si>
    <t>Jardinería (40)</t>
  </si>
  <si>
    <t>Piscinas, bañeras de hidromasaje y suministros (12)</t>
  </si>
  <si>
    <t>Barbacoa y comedor al aire libre (11)</t>
  </si>
  <si>
    <t>Decoración de exterior (7)</t>
  </si>
  <si>
    <t>Muebles y accesorios de jardín (7)</t>
  </si>
  <si>
    <t>Herramientas de jardinería y equipos de riego (5)</t>
  </si>
  <si>
    <t>Aves y animales de jardín (2)</t>
  </si>
  <si>
    <t>Cubiertas y vallas (1)</t>
  </si>
  <si>
    <t>Juegos de imitación (37)</t>
  </si>
  <si>
    <t>Actividades creativas (17)</t>
  </si>
  <si>
    <t>Radiocontrol (16)</t>
  </si>
  <si>
    <t>Bebés y primera infancia (12)</t>
  </si>
  <si>
    <t>Aire libre y deportes (11)</t>
  </si>
  <si>
    <t>Regalos originales y de broma (7)</t>
  </si>
  <si>
    <t>Coleccionables (4)</t>
  </si>
  <si>
    <t>Muñecas y accesorios (3)</t>
  </si>
  <si>
    <t>Puzzles y rompecabezas (3)</t>
  </si>
  <si>
    <t>Aprendizaje y educación (2)</t>
  </si>
  <si>
    <t>Juguetes electrónicos (1)</t>
  </si>
  <si>
    <t>Vehículos (1)</t>
  </si>
  <si>
    <t>Oficina y papelería (98)</t>
  </si>
  <si>
    <t>Material de oficina (44)</t>
  </si>
  <si>
    <t>Productos de papel para oficina (34)</t>
  </si>
  <si>
    <t>Bolígrafos, lápices y útiles de escritura (7)</t>
  </si>
  <si>
    <t>Material escolar y educativo (5)</t>
  </si>
  <si>
    <t>Calendarios, agendas y organizadores personales (3)</t>
  </si>
  <si>
    <t>Electrónica de oficina (3)</t>
  </si>
  <si>
    <t>Sobres y suministros para el correo (2)</t>
  </si>
  <si>
    <t>Iluminación de interior (61)</t>
  </si>
  <si>
    <t>Bombillas (16)</t>
  </si>
  <si>
    <t>Guirnaldas luminosas (4)</t>
  </si>
  <si>
    <t>Iluminación de exterior (2)</t>
  </si>
  <si>
    <t>Perros (30)</t>
  </si>
  <si>
    <t>Acuáticos (6)</t>
  </si>
  <si>
    <t>Productos para mascotas (5)</t>
  </si>
  <si>
    <t>Gatos (5)</t>
  </si>
  <si>
    <t>Animales pequeños (4)</t>
  </si>
  <si>
    <t>Pájaros (4)</t>
  </si>
  <si>
    <t>Caballos (1)</t>
  </si>
  <si>
    <t>Dormitorio (29)</t>
  </si>
  <si>
    <t>Lactancia y alimentación (7)</t>
  </si>
  <si>
    <t>Seguridad (4)</t>
  </si>
  <si>
    <t>Remolques de bicicleta y accesorios (4)</t>
  </si>
  <si>
    <t>Sillas de coche y accesorios (1)</t>
  </si>
  <si>
    <t>Higiene y cuidado (1)</t>
  </si>
  <si>
    <t>Suministros y equipamiento médico (25)</t>
  </si>
  <si>
    <t>Cuidado de la salud (7)</t>
  </si>
  <si>
    <t>Cuidado bucal (5)</t>
  </si>
  <si>
    <t>Bienestar (2)</t>
  </si>
  <si>
    <t>Dispositivos para fumar y accesorios (2)</t>
  </si>
  <si>
    <t>Vitaminas, minerales y suplementos (1)</t>
  </si>
  <si>
    <t>Cuidado y limpieza del hogar (1)</t>
  </si>
  <si>
    <t>Videojuegos (13)</t>
  </si>
  <si>
    <t>Nintendo Switch 2 (8)</t>
  </si>
  <si>
    <t>Sistemas heredados (5)</t>
  </si>
  <si>
    <t>Nintendo Switch (4)</t>
  </si>
  <si>
    <t>PlayStation 5 (2)</t>
  </si>
  <si>
    <t>Realidad virtual (1)</t>
  </si>
  <si>
    <t>Piezas y accesorios (29)</t>
  </si>
  <si>
    <t>Percusión (5)</t>
  </si>
  <si>
    <t>Pianos y teclados (5)</t>
  </si>
  <si>
    <t>Accesorios para músicos y producción musical (4)</t>
  </si>
  <si>
    <t>Instrumentos de viento (3)</t>
  </si>
  <si>
    <t>Instrumentos de cuerda (2)</t>
  </si>
  <si>
    <t>Guitarras y accesorios (1)</t>
  </si>
  <si>
    <t>Sistemas de escenario y megafonía (1)</t>
  </si>
  <si>
    <t>Alimentación y bebidas (21)</t>
  </si>
  <si>
    <t>Productos para cocina y repostería (21)</t>
  </si>
  <si>
    <t>Afeitado y depilación (6)</t>
  </si>
  <si>
    <t>Cuidado del cabello (5)</t>
  </si>
  <si>
    <t>Utensilios y accesorios (4)</t>
  </si>
  <si>
    <t>Equipo de salón y spa (2)</t>
  </si>
  <si>
    <t>Baño e higiene personal (1)</t>
  </si>
  <si>
    <t>Deportes</t>
  </si>
  <si>
    <t>Electrónica y dispositivos</t>
  </si>
  <si>
    <t>Ocio al aire libre</t>
  </si>
  <si>
    <t>Fitness y ejercicio</t>
  </si>
  <si>
    <t>Caza y pesca</t>
  </si>
  <si>
    <t>Productos para fans</t>
  </si>
  <si>
    <t>Accesorios para deportes y ocio al aire libre</t>
  </si>
  <si>
    <t>Ropa deportiva</t>
  </si>
  <si>
    <t>Hidráulica, neumática y fontanería</t>
  </si>
  <si>
    <t>Energía solar y eólica</t>
  </si>
  <si>
    <t>Eléctrica industrial</t>
  </si>
  <si>
    <t>Artículos y equipo de servicio para la restauración</t>
  </si>
  <si>
    <t>Test y medición</t>
  </si>
  <si>
    <t>Equipos y suministros agrícolas</t>
  </si>
  <si>
    <t>Impresión y escaneo 3D</t>
  </si>
  <si>
    <t>Productos de laboratorio y ciencias</t>
  </si>
  <si>
    <t>Suministros de limpieza y saneamiento</t>
  </si>
  <si>
    <t>Productos de transmisión de energía</t>
  </si>
  <si>
    <t>Manutención</t>
  </si>
  <si>
    <t>Materias primas</t>
  </si>
  <si>
    <t>Suministros de empaquetado y envío</t>
  </si>
  <si>
    <t>Productos abrasivos y de acabado</t>
  </si>
  <si>
    <t>Herramientas eléctricas y de mano</t>
  </si>
  <si>
    <t>Salud ocupacional y productos de seguridad</t>
  </si>
  <si>
    <t>Suministros médicos profesionales</t>
  </si>
  <si>
    <t>Cortacéspedes y herramientas eléctricas para exteriores</t>
  </si>
  <si>
    <t>Jardinería</t>
  </si>
  <si>
    <t>Piscinas, bañeras de hidromasaje y suministros</t>
  </si>
  <si>
    <t>Barbacoa y comedor al aire libre</t>
  </si>
  <si>
    <t>Decoración de exterior</t>
  </si>
  <si>
    <t>Muebles y accesorios de jardín</t>
  </si>
  <si>
    <t>Herramientas de jardinería y equipos de riego</t>
  </si>
  <si>
    <t>Aves y animales de jardín</t>
  </si>
  <si>
    <t>Cubiertas y vallas</t>
  </si>
  <si>
    <t>Juegos de imitación</t>
  </si>
  <si>
    <t>Actividades creativas</t>
  </si>
  <si>
    <t>Radiocontrol</t>
  </si>
  <si>
    <t>Bebés y primera infancia</t>
  </si>
  <si>
    <t>Aire libre y deportes</t>
  </si>
  <si>
    <t>Regalos originales y de broma</t>
  </si>
  <si>
    <t>Coleccionables</t>
  </si>
  <si>
    <t>Muñecas y accesorios</t>
  </si>
  <si>
    <t>Puzzles y rompecabezas</t>
  </si>
  <si>
    <t>Aprendizaje y educación</t>
  </si>
  <si>
    <t>Juguetes electrónicos</t>
  </si>
  <si>
    <t>Vehículos</t>
  </si>
  <si>
    <t>Material de oficina</t>
  </si>
  <si>
    <t>Productos de papel para oficina</t>
  </si>
  <si>
    <t>Bolígrafos, lápices y útiles de escritura</t>
  </si>
  <si>
    <t>Material escolar y educativo</t>
  </si>
  <si>
    <t>Calendarios, agendas y organizadores personales</t>
  </si>
  <si>
    <t>Electrónica de oficina</t>
  </si>
  <si>
    <t>Sobres y suministros para el correo</t>
  </si>
  <si>
    <t>Iluminación de interior</t>
  </si>
  <si>
    <t>Bombillas</t>
  </si>
  <si>
    <t>Guirnaldas luminosas</t>
  </si>
  <si>
    <t>Iluminación de exterior</t>
  </si>
  <si>
    <t>Perros</t>
  </si>
  <si>
    <t>Acuáticos</t>
  </si>
  <si>
    <t>Gatos</t>
  </si>
  <si>
    <t>Animales pequeños</t>
  </si>
  <si>
    <t>Pájaros</t>
  </si>
  <si>
    <t>Caballos</t>
  </si>
  <si>
    <t>Dormitorio</t>
  </si>
  <si>
    <t>Lactancia y alimentación</t>
  </si>
  <si>
    <t>Seguridad</t>
  </si>
  <si>
    <t>Remolques de bicicleta y accesorios</t>
  </si>
  <si>
    <t>Sillas de coche y accesorios</t>
  </si>
  <si>
    <t>Higiene y cuidado</t>
  </si>
  <si>
    <t>Suministros y equipamiento médico</t>
  </si>
  <si>
    <t>Cuidado de la salud</t>
  </si>
  <si>
    <t>Cuidado bucal</t>
  </si>
  <si>
    <t>Bienestar</t>
  </si>
  <si>
    <t>Dispositivos para fumar y accesorios</t>
  </si>
  <si>
    <t>Vitaminas, minerales y suplementos</t>
  </si>
  <si>
    <t>Cuidado y limpieza del hogar</t>
  </si>
  <si>
    <t>Nintendo Switch 2</t>
  </si>
  <si>
    <t>Sistemas heredados</t>
  </si>
  <si>
    <t>Nintendo Switch</t>
  </si>
  <si>
    <t>PlayStation 5</t>
  </si>
  <si>
    <t>Realidad virtual</t>
  </si>
  <si>
    <t>Piezas y accesorios</t>
  </si>
  <si>
    <t>Percusión</t>
  </si>
  <si>
    <t>Pianos y teclados</t>
  </si>
  <si>
    <t>Accesorios para músicos y producción musical</t>
  </si>
  <si>
    <t>Instrumentos de viento</t>
  </si>
  <si>
    <t>Instrumentos de cuerda</t>
  </si>
  <si>
    <t>Guitarras y accesorios</t>
  </si>
  <si>
    <t>Sistemas de escenario y megafonía</t>
  </si>
  <si>
    <t>Productos para cocina y repostería</t>
  </si>
  <si>
    <t>Afeitado y depilación</t>
  </si>
  <si>
    <t>Cuidado del cabello</t>
  </si>
  <si>
    <t>Utensilios y accesorios</t>
  </si>
  <si>
    <t>Equipo de salón y spa</t>
  </si>
  <si>
    <t>Baño e higiene personal</t>
  </si>
  <si>
    <t>Sub-Codigo</t>
  </si>
  <si>
    <t>Compra_Automatica</t>
  </si>
  <si>
    <t>Palabras</t>
  </si>
  <si>
    <t>Valor_Minimo</t>
  </si>
  <si>
    <t>Electrónica (1339)</t>
  </si>
  <si>
    <t>Comunicación móvil y accesorios (564)</t>
  </si>
  <si>
    <t>Fotografía y videocámaras (61)</t>
  </si>
  <si>
    <t>HiperVinculo</t>
  </si>
  <si>
    <t>Nombre</t>
  </si>
  <si>
    <t>URL</t>
  </si>
  <si>
    <t>599370031</t>
  </si>
  <si>
    <t/>
  </si>
  <si>
    <t>1397144030</t>
  </si>
  <si>
    <t>19813440030</t>
  </si>
  <si>
    <t>19808502030</t>
  </si>
  <si>
    <t>1396269030</t>
  </si>
  <si>
    <t>1396270030</t>
  </si>
  <si>
    <t>1397126030</t>
  </si>
  <si>
    <t>1397128030</t>
  </si>
  <si>
    <t>1670550030</t>
  </si>
  <si>
    <t>1714944030</t>
  </si>
  <si>
    <t>1670553030</t>
  </si>
  <si>
    <t>1396271030</t>
  </si>
  <si>
    <t>1676614030</t>
  </si>
  <si>
    <t>1670552030</t>
  </si>
  <si>
    <t>1670551030</t>
  </si>
  <si>
    <t>599391031</t>
  </si>
  <si>
    <t>5285555030</t>
  </si>
  <si>
    <t>2991577030</t>
  </si>
  <si>
    <t>3703686030</t>
  </si>
  <si>
    <t>4503992030</t>
  </si>
  <si>
    <t>2991261030</t>
  </si>
  <si>
    <t>2991451030</t>
  </si>
  <si>
    <t>2991342030</t>
  </si>
  <si>
    <t>3998375030</t>
  </si>
  <si>
    <t>4245468030</t>
  </si>
  <si>
    <t>4578274030</t>
  </si>
  <si>
    <t>2991109030</t>
  </si>
  <si>
    <t>4125251030</t>
  </si>
  <si>
    <t>3680439030</t>
  </si>
  <si>
    <t>4130616030</t>
  </si>
  <si>
    <t>2991052030</t>
  </si>
  <si>
    <t>3998363030</t>
  </si>
  <si>
    <t>5579405030</t>
  </si>
  <si>
    <t>2991223030</t>
  </si>
  <si>
    <t>667049031</t>
  </si>
  <si>
    <t>1680506030</t>
  </si>
  <si>
    <t>19879505030</t>
  </si>
  <si>
    <t>1680665030</t>
  </si>
  <si>
    <t>1680711030</t>
  </si>
  <si>
    <t>19874943030</t>
  </si>
  <si>
    <t>19879501030</t>
  </si>
  <si>
    <t>2454133031</t>
  </si>
  <si>
    <t>3922816030</t>
  </si>
  <si>
    <t>3922819030</t>
  </si>
  <si>
    <t>3922822030</t>
  </si>
  <si>
    <t>3922824030</t>
  </si>
  <si>
    <t>3922823030</t>
  </si>
  <si>
    <t>3922815030</t>
  </si>
  <si>
    <t>3922818030</t>
  </si>
  <si>
    <t>3922817030</t>
  </si>
  <si>
    <t>3922821030</t>
  </si>
  <si>
    <t>3703847030</t>
  </si>
  <si>
    <t>1951051031</t>
  </si>
  <si>
    <t>3268226030</t>
  </si>
  <si>
    <t>3267987030</t>
  </si>
  <si>
    <t>3267811030</t>
  </si>
  <si>
    <t>3267965030</t>
  </si>
  <si>
    <t>3267975030</t>
  </si>
  <si>
    <t>3268496030</t>
  </si>
  <si>
    <t>3268507030</t>
  </si>
  <si>
    <t>3267905030</t>
  </si>
  <si>
    <t>3268419030</t>
  </si>
  <si>
    <t>17480980030</t>
  </si>
  <si>
    <t>5512276031</t>
  </si>
  <si>
    <t>14230295030</t>
  </si>
  <si>
    <t>6493352030</t>
  </si>
  <si>
    <t>6493349030</t>
  </si>
  <si>
    <t>13911558030</t>
  </si>
  <si>
    <t>3948711030</t>
  </si>
  <si>
    <t>6495004030</t>
  </si>
  <si>
    <t>6866506030</t>
  </si>
  <si>
    <t>6495007030</t>
  </si>
  <si>
    <t>6495010030</t>
  </si>
  <si>
    <t>30169515030</t>
  </si>
  <si>
    <t>2454136031</t>
  </si>
  <si>
    <t>29102967030</t>
  </si>
  <si>
    <t>3794299030</t>
  </si>
  <si>
    <t>29102966030</t>
  </si>
  <si>
    <t>3794298030</t>
  </si>
  <si>
    <t>29102965030</t>
  </si>
  <si>
    <t>3794320030</t>
  </si>
  <si>
    <t>29102968030</t>
  </si>
  <si>
    <t>3794324030</t>
  </si>
  <si>
    <t>5866088031</t>
  </si>
  <si>
    <t>7309795030</t>
  </si>
  <si>
    <t>16626319030</t>
  </si>
  <si>
    <t>11607087030</t>
  </si>
  <si>
    <t>11606829030</t>
  </si>
  <si>
    <t>7695796030</t>
  </si>
  <si>
    <t>17860901030</t>
  </si>
  <si>
    <t>7695797030</t>
  </si>
  <si>
    <t>7695798030</t>
  </si>
  <si>
    <t>7695800030</t>
  </si>
  <si>
    <t>7309800030</t>
  </si>
  <si>
    <t>7309798030</t>
  </si>
  <si>
    <t>7309802030</t>
  </si>
  <si>
    <t>7309799030</t>
  </si>
  <si>
    <t>7309790030</t>
  </si>
  <si>
    <t>7695795030</t>
  </si>
  <si>
    <t>7695799030</t>
  </si>
  <si>
    <t>7695801030</t>
  </si>
  <si>
    <t>1571259031</t>
  </si>
  <si>
    <t>6933299030</t>
  </si>
  <si>
    <t>6933545030</t>
  </si>
  <si>
    <t>6933839030</t>
  </si>
  <si>
    <t>6933219030</t>
  </si>
  <si>
    <t>6933479030</t>
  </si>
  <si>
    <t>6933766030</t>
  </si>
  <si>
    <t>29481163030</t>
  </si>
  <si>
    <t>6933193030</t>
  </si>
  <si>
    <t>6933953030</t>
  </si>
  <si>
    <t>599385031</t>
  </si>
  <si>
    <t>2407076030</t>
  </si>
  <si>
    <t>2406884030</t>
  </si>
  <si>
    <t>2407291030</t>
  </si>
  <si>
    <t>2407258030</t>
  </si>
  <si>
    <t>2406927030</t>
  </si>
  <si>
    <t>2406990030</t>
  </si>
  <si>
    <t>2407026030</t>
  </si>
  <si>
    <t>2407232030</t>
  </si>
  <si>
    <t>2407281030</t>
  </si>
  <si>
    <t>2407120030</t>
  </si>
  <si>
    <t>2407143030</t>
  </si>
  <si>
    <t>16215301030</t>
  </si>
  <si>
    <t>3628728031</t>
  </si>
  <si>
    <t>5279417030</t>
  </si>
  <si>
    <t>5279420030</t>
  </si>
  <si>
    <t>5279414030</t>
  </si>
  <si>
    <t>5279418030</t>
  </si>
  <si>
    <t>5279415030</t>
  </si>
  <si>
    <t>5279416030</t>
  </si>
  <si>
    <t>5279421030</t>
  </si>
  <si>
    <t>3564289031</t>
  </si>
  <si>
    <t>5121400030</t>
  </si>
  <si>
    <t>5121397030</t>
  </si>
  <si>
    <t>23372600030</t>
  </si>
  <si>
    <t>5121399030</t>
  </si>
  <si>
    <t>12472654031</t>
  </si>
  <si>
    <t>15007295030</t>
  </si>
  <si>
    <t>15007289030</t>
  </si>
  <si>
    <t>15007293030</t>
  </si>
  <si>
    <t>15007290030</t>
  </si>
  <si>
    <t>15007296030</t>
  </si>
  <si>
    <t>15007292030</t>
  </si>
  <si>
    <t>1703495031</t>
  </si>
  <si>
    <t>2642993030</t>
  </si>
  <si>
    <t>2642992030</t>
  </si>
  <si>
    <t>2642991030</t>
  </si>
  <si>
    <t>2643005030</t>
  </si>
  <si>
    <t>2642990030</t>
  </si>
  <si>
    <t>2642997030</t>
  </si>
  <si>
    <t>3677430031</t>
  </si>
  <si>
    <t>5273066030</t>
  </si>
  <si>
    <t>5273064030</t>
  </si>
  <si>
    <t>5273062030</t>
  </si>
  <si>
    <t>5273060030</t>
  </si>
  <si>
    <t>7480877030</t>
  </si>
  <si>
    <t>5273219030</t>
  </si>
  <si>
    <t>7346366030</t>
  </si>
  <si>
    <t>599382031</t>
  </si>
  <si>
    <t>206234223030</t>
  </si>
  <si>
    <t>29989371030</t>
  </si>
  <si>
    <t>13847457030</t>
  </si>
  <si>
    <t>23499754030</t>
  </si>
  <si>
    <t>25447187030</t>
  </si>
  <si>
    <t>4772050031</t>
  </si>
  <si>
    <t>16260529030</t>
  </si>
  <si>
    <t>3628866031</t>
  </si>
  <si>
    <t>5917450030</t>
  </si>
  <si>
    <t>5917451030</t>
  </si>
  <si>
    <t>5917441030</t>
  </si>
  <si>
    <t>5917448030</t>
  </si>
  <si>
    <t>5917447030</t>
  </si>
  <si>
    <t>5917446030</t>
  </si>
  <si>
    <t>5917453030</t>
  </si>
  <si>
    <t>6198072031</t>
  </si>
  <si>
    <t>7370998030</t>
  </si>
  <si>
    <t>6198054031</t>
  </si>
  <si>
    <t>5273058030</t>
  </si>
  <si>
    <t>5273878030</t>
  </si>
  <si>
    <t>7397448030</t>
  </si>
  <si>
    <t>30274096030</t>
  </si>
  <si>
    <t>5273856030</t>
  </si>
  <si>
    <t>667040031</t>
  </si>
  <si>
    <t>dsadas</t>
  </si>
  <si>
    <t>dsadsa</t>
  </si>
  <si>
    <t>Hola que 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</si>
</sst>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1" applyAlignment="1">
      <alignment horizontal="left" vertical="center" wrapText="1" indent="1"/>
    </xf>
    <xf numFmtId="0" fontId="1" fillId="0" borderId="0" xfId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2" xfId="1" applyBorder="1"/>
  </cellXfs>
  <cellStyles count="2">
    <cellStyle name="Hyperlink" xfId="1" builtinId="8"/>
    <cellStyle name="Normal" xfId="0" builtinId="0"/>
  </cellStyles>
  <dxfs count="16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485775</xdr:colOff>
      <xdr:row>1</xdr:row>
      <xdr:rowOff>38100</xdr:rowOff>
    </xdr:from>
    <xdr:to>
      <xdr:col>26</xdr:col>
      <xdr:colOff>503756</xdr:colOff>
      <xdr:row>35</xdr:row>
      <xdr:rowOff>170528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CBF30A-0623-4F00-8830-3241A764D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40100" y="228600"/>
          <a:ext cx="8552381" cy="737142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9C7678-DB81-4ABA-9345-656BDF69A532}" name="Table2" displayName="Table2" ref="A1:C6" totalsRowShown="0" headerRowDxfId="15" headerRowBorderDxfId="14" tableBorderDxfId="13" totalsRowBorderDxfId="12">
  <autoFilter ref="A1:C6" xr:uid="{9D9C7678-DB81-4ABA-9345-656BDF69A532}"/>
  <tableColumns count="3">
    <tableColumn id="1" xr3:uid="{04ABC8D1-C86C-4BB1-9218-3B75D0C05F86}" name="Palabras" dataDxfId="11"/>
    <tableColumn id="2" xr3:uid="{EFC98E8A-51E5-4A08-9489-05847E5F9726}" name="Compra_Automatica" dataDxfId="10"/>
    <tableColumn id="3" xr3:uid="{920D173F-B9E7-4F46-9223-998C3A3059C2}" name="Valor_Minimo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8AFF49-F4D8-4470-AC3D-8B739A10B349}" name="Table1" displayName="Table1" ref="A1:F194" totalsRowShown="0" headerRowDxfId="8" headerRowBorderDxfId="7" tableBorderDxfId="6">
  <autoFilter ref="A1:F194" xr:uid="{8C8AFF49-F4D8-4470-AC3D-8B739A10B349}"/>
  <tableColumns count="6">
    <tableColumn id="1" xr3:uid="{432A672A-D807-4773-A4BD-B9812BED9A1A}" name="Tipo" dataDxfId="5"/>
    <tableColumn id="2" xr3:uid="{926B0839-1AA3-440E-A680-5169CC5F11B9}" name="Sub-Tipo" dataDxfId="4"/>
    <tableColumn id="3" xr3:uid="{78E47489-9915-4180-A4A5-649E0DBE7F0C}" name="Tipo_Total" dataDxfId="3">
      <calculatedColumnFormula>A2 &amp; IF(B2="", "", " - " &amp; B2)</calculatedColumnFormula>
    </tableColumn>
    <tableColumn id="4" xr3:uid="{7A2C3C2F-5422-4798-B0D0-8496C44B97A2}" name="Codigo" dataDxfId="2"/>
    <tableColumn id="5" xr3:uid="{374445E8-93BF-418C-A7A9-367BA791FC36}" name="Sub-Codigo" dataDxfId="1"/>
    <tableColumn id="8" xr3:uid="{168924E2-9293-4D91-8B56-C1E1888FAA6C}" name="URL" dataDxfId="0">
      <calculatedColumnFormula>"https://www.amazon.es/vine/vine-items?queue=encore&amp;pn=" &amp; D2 &amp; IF(E2 = "", "", "&amp;cn=" &amp; 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zon.es/vine/vine-items?queue=encore&amp;pn=3628728031&amp;cn=5279420030" TargetMode="External"/><Relationship Id="rId21" Type="http://schemas.openxmlformats.org/officeDocument/2006/relationships/hyperlink" Target="https://www.amazon.es/vine/vine-items?queue=encore&amp;pn=667049031" TargetMode="External"/><Relationship Id="rId42" Type="http://schemas.openxmlformats.org/officeDocument/2006/relationships/hyperlink" Target="https://www.amazon.es/vine/vine-items?queue=encore&amp;pn=1951051031&amp;cn=3267987030" TargetMode="External"/><Relationship Id="rId63" Type="http://schemas.openxmlformats.org/officeDocument/2006/relationships/hyperlink" Target="https://www.amazon.es/vine/vine-items?queue=encore&amp;pn=2454136031" TargetMode="External"/><Relationship Id="rId84" Type="http://schemas.openxmlformats.org/officeDocument/2006/relationships/hyperlink" Target="https://www.amazon.es/vine/vine-items?queue=encore&amp;pn=5866088031&amp;cn=7309798030" TargetMode="External"/><Relationship Id="rId138" Type="http://schemas.openxmlformats.org/officeDocument/2006/relationships/hyperlink" Target="https://www.amazon.es/vine/vine-items?queue=encore&amp;pn=1703495031&amp;cn=2642992030" TargetMode="External"/><Relationship Id="rId159" Type="http://schemas.openxmlformats.org/officeDocument/2006/relationships/hyperlink" Target="https://www.amazon.es/vine/vine-items?queue=encore&amp;pn=4772050031&amp;cn=16260529030" TargetMode="External"/><Relationship Id="rId170" Type="http://schemas.openxmlformats.org/officeDocument/2006/relationships/hyperlink" Target="https://www.amazon.es/vine/vine-items?queue=encore&amp;pn=6198054031" TargetMode="External"/><Relationship Id="rId191" Type="http://schemas.openxmlformats.org/officeDocument/2006/relationships/hyperlink" Target="https://www.amazon.es/vine/vine-items?queue=encore&amp;pn=599370031&amp;cn=1670552030" TargetMode="External"/><Relationship Id="rId107" Type="http://schemas.openxmlformats.org/officeDocument/2006/relationships/hyperlink" Target="https://www.amazon.es/vine/vine-items?queue=encore&amp;pn=599385031&amp;cn=2406927030" TargetMode="External"/><Relationship Id="rId11" Type="http://schemas.openxmlformats.org/officeDocument/2006/relationships/hyperlink" Target="https://www.amazon.es/vine/vine-items?queue=encore&amp;pn=599391031&amp;cn=4578274030" TargetMode="External"/><Relationship Id="rId32" Type="http://schemas.openxmlformats.org/officeDocument/2006/relationships/hyperlink" Target="https://www.amazon.es/vine/vine-items?queue=encore&amp;pn=2454133031&amp;cn=3922824030" TargetMode="External"/><Relationship Id="rId53" Type="http://schemas.openxmlformats.org/officeDocument/2006/relationships/hyperlink" Target="https://www.amazon.es/vine/vine-items?queue=encore&amp;pn=5512276031&amp;cn=14230295030" TargetMode="External"/><Relationship Id="rId74" Type="http://schemas.openxmlformats.org/officeDocument/2006/relationships/hyperlink" Target="https://www.amazon.es/vine/vine-items?queue=encore&amp;pn=5866088031&amp;cn=7309795030" TargetMode="External"/><Relationship Id="rId128" Type="http://schemas.openxmlformats.org/officeDocument/2006/relationships/hyperlink" Target="https://www.amazon.es/vine/vine-items?queue=encore&amp;pn=12472654031" TargetMode="External"/><Relationship Id="rId149" Type="http://schemas.openxmlformats.org/officeDocument/2006/relationships/hyperlink" Target="https://www.amazon.es/vine/vine-items?queue=encore&amp;pn=3677430031&amp;cn=5273219030" TargetMode="External"/><Relationship Id="rId5" Type="http://schemas.openxmlformats.org/officeDocument/2006/relationships/hyperlink" Target="https://www.amazon.es/vine/vine-items?queue=encore&amp;pn=599391031&amp;cn=4503992030" TargetMode="External"/><Relationship Id="rId95" Type="http://schemas.openxmlformats.org/officeDocument/2006/relationships/hyperlink" Target="https://www.amazon.es/vine/vine-items?queue=encore&amp;pn=1571259031&amp;cn=6933839030" TargetMode="External"/><Relationship Id="rId160" Type="http://schemas.openxmlformats.org/officeDocument/2006/relationships/hyperlink" Target="https://www.amazon.es/vine/vine-items?queue=encore&amp;pn=3628866031" TargetMode="External"/><Relationship Id="rId181" Type="http://schemas.openxmlformats.org/officeDocument/2006/relationships/hyperlink" Target="https://www.amazon.es/vine/vine-items?queue=encore&amp;pn=599370031&amp;cn=19808502030" TargetMode="External"/><Relationship Id="rId22" Type="http://schemas.openxmlformats.org/officeDocument/2006/relationships/hyperlink" Target="https://www.amazon.es/vine/vine-items?queue=encore&amp;pn=667049031&amp;cn=1680506030" TargetMode="External"/><Relationship Id="rId43" Type="http://schemas.openxmlformats.org/officeDocument/2006/relationships/hyperlink" Target="https://www.amazon.es/vine/vine-items?queue=encore&amp;pn=1951051031&amp;cn=3267811030" TargetMode="External"/><Relationship Id="rId64" Type="http://schemas.openxmlformats.org/officeDocument/2006/relationships/hyperlink" Target="https://www.amazon.es/vine/vine-items?queue=encore&amp;pn=2454136031&amp;cn=29102967030" TargetMode="External"/><Relationship Id="rId118" Type="http://schemas.openxmlformats.org/officeDocument/2006/relationships/hyperlink" Target="https://www.amazon.es/vine/vine-items?queue=encore&amp;pn=3628728031&amp;cn=5279414030" TargetMode="External"/><Relationship Id="rId139" Type="http://schemas.openxmlformats.org/officeDocument/2006/relationships/hyperlink" Target="https://www.amazon.es/vine/vine-items?queue=encore&amp;pn=1703495031&amp;cn=2642991030" TargetMode="External"/><Relationship Id="rId85" Type="http://schemas.openxmlformats.org/officeDocument/2006/relationships/hyperlink" Target="https://www.amazon.es/vine/vine-items?queue=encore&amp;pn=5866088031&amp;cn=7309802030" TargetMode="External"/><Relationship Id="rId150" Type="http://schemas.openxmlformats.org/officeDocument/2006/relationships/hyperlink" Target="https://www.amazon.es/vine/vine-items?queue=encore&amp;pn=3677430031&amp;cn=7346366030" TargetMode="External"/><Relationship Id="rId171" Type="http://schemas.openxmlformats.org/officeDocument/2006/relationships/hyperlink" Target="https://www.amazon.es/vine/vine-items?queue=encore&amp;pn=6198054031&amp;cn=5273058030" TargetMode="External"/><Relationship Id="rId192" Type="http://schemas.openxmlformats.org/officeDocument/2006/relationships/hyperlink" Target="https://www.amazon.es/vine/vine-items?queue=encore&amp;pn=599370031&amp;cn=599370031" TargetMode="External"/><Relationship Id="rId12" Type="http://schemas.openxmlformats.org/officeDocument/2006/relationships/hyperlink" Target="https://www.amazon.es/vine/vine-items?queue=encore&amp;pn=599391031&amp;cn=2991109030" TargetMode="External"/><Relationship Id="rId33" Type="http://schemas.openxmlformats.org/officeDocument/2006/relationships/hyperlink" Target="https://www.amazon.es/vine/vine-items?queue=encore&amp;pn=2454133031&amp;cn=3922823030" TargetMode="External"/><Relationship Id="rId108" Type="http://schemas.openxmlformats.org/officeDocument/2006/relationships/hyperlink" Target="https://www.amazon.es/vine/vine-items?queue=encore&amp;pn=599385031&amp;cn=2406990030" TargetMode="External"/><Relationship Id="rId129" Type="http://schemas.openxmlformats.org/officeDocument/2006/relationships/hyperlink" Target="https://www.amazon.es/vine/vine-items?queue=encore&amp;pn=12472654031&amp;cn=15007295030" TargetMode="External"/><Relationship Id="rId54" Type="http://schemas.openxmlformats.org/officeDocument/2006/relationships/hyperlink" Target="https://www.amazon.es/vine/vine-items?queue=encore&amp;pn=5512276031&amp;cn=6493352030" TargetMode="External"/><Relationship Id="rId75" Type="http://schemas.openxmlformats.org/officeDocument/2006/relationships/hyperlink" Target="https://www.amazon.es/vine/vine-items?queue=encore&amp;pn=5866088031&amp;cn=16626319030" TargetMode="External"/><Relationship Id="rId96" Type="http://schemas.openxmlformats.org/officeDocument/2006/relationships/hyperlink" Target="https://www.amazon.es/vine/vine-items?queue=encore&amp;pn=1571259031&amp;cn=6933219030" TargetMode="External"/><Relationship Id="rId140" Type="http://schemas.openxmlformats.org/officeDocument/2006/relationships/hyperlink" Target="https://www.amazon.es/vine/vine-items?queue=encore&amp;pn=1703495031&amp;cn=2643005030" TargetMode="External"/><Relationship Id="rId161" Type="http://schemas.openxmlformats.org/officeDocument/2006/relationships/hyperlink" Target="https://www.amazon.es/vine/vine-items?queue=encore&amp;pn=3628866031&amp;cn=5917450030" TargetMode="External"/><Relationship Id="rId182" Type="http://schemas.openxmlformats.org/officeDocument/2006/relationships/hyperlink" Target="https://www.amazon.es/vine/vine-items?queue=encore&amp;pn=599370031&amp;cn=1396269030" TargetMode="External"/><Relationship Id="rId6" Type="http://schemas.openxmlformats.org/officeDocument/2006/relationships/hyperlink" Target="https://www.amazon.es/vine/vine-items?queue=encore&amp;pn=599391031&amp;cn=2991261030" TargetMode="External"/><Relationship Id="rId23" Type="http://schemas.openxmlformats.org/officeDocument/2006/relationships/hyperlink" Target="https://www.amazon.es/vine/vine-items?queue=encore&amp;pn=667049031&amp;cn=19879505030" TargetMode="External"/><Relationship Id="rId119" Type="http://schemas.openxmlformats.org/officeDocument/2006/relationships/hyperlink" Target="https://www.amazon.es/vine/vine-items?queue=encore&amp;pn=3628728031&amp;cn=5279418030" TargetMode="External"/><Relationship Id="rId44" Type="http://schemas.openxmlformats.org/officeDocument/2006/relationships/hyperlink" Target="https://www.amazon.es/vine/vine-items?queue=encore&amp;pn=1951051031&amp;cn=3267965030" TargetMode="External"/><Relationship Id="rId65" Type="http://schemas.openxmlformats.org/officeDocument/2006/relationships/hyperlink" Target="https://www.amazon.es/vine/vine-items?queue=encore&amp;pn=2454136031&amp;cn=3794299030" TargetMode="External"/><Relationship Id="rId86" Type="http://schemas.openxmlformats.org/officeDocument/2006/relationships/hyperlink" Target="https://www.amazon.es/vine/vine-items?queue=encore&amp;pn=5866088031&amp;cn=5866088031" TargetMode="External"/><Relationship Id="rId130" Type="http://schemas.openxmlformats.org/officeDocument/2006/relationships/hyperlink" Target="https://www.amazon.es/vine/vine-items?queue=encore&amp;pn=12472654031&amp;cn=15007289030" TargetMode="External"/><Relationship Id="rId151" Type="http://schemas.openxmlformats.org/officeDocument/2006/relationships/hyperlink" Target="https://www.amazon.es/vine/vine-items?queue=encore&amp;pn=599382031" TargetMode="External"/><Relationship Id="rId172" Type="http://schemas.openxmlformats.org/officeDocument/2006/relationships/hyperlink" Target="https://www.amazon.es/vine/vine-items?queue=encore&amp;pn=6198054031&amp;cn=5273878030" TargetMode="External"/><Relationship Id="rId193" Type="http://schemas.openxmlformats.org/officeDocument/2006/relationships/hyperlink" Target="https://www.amazon.es/vine/vine-items?queue=encore&amp;pn=599370031&amp;cn=1670551030" TargetMode="External"/><Relationship Id="rId13" Type="http://schemas.openxmlformats.org/officeDocument/2006/relationships/hyperlink" Target="https://www.amazon.es/vine/vine-items?queue=encore&amp;pn=599391031&amp;cn=4125251030" TargetMode="External"/><Relationship Id="rId109" Type="http://schemas.openxmlformats.org/officeDocument/2006/relationships/hyperlink" Target="https://www.amazon.es/vine/vine-items?queue=encore&amp;pn=599385031&amp;cn=2407026030" TargetMode="External"/><Relationship Id="rId34" Type="http://schemas.openxmlformats.org/officeDocument/2006/relationships/hyperlink" Target="https://www.amazon.es/vine/vine-items?queue=encore&amp;pn=2454133031&amp;cn=3922815030" TargetMode="External"/><Relationship Id="rId50" Type="http://schemas.openxmlformats.org/officeDocument/2006/relationships/hyperlink" Target="https://www.amazon.es/vine/vine-items?queue=encore&amp;pn=1951051031&amp;cn=1951051031" TargetMode="External"/><Relationship Id="rId55" Type="http://schemas.openxmlformats.org/officeDocument/2006/relationships/hyperlink" Target="https://www.amazon.es/vine/vine-items?queue=encore&amp;pn=5512276031&amp;cn=6493349030" TargetMode="External"/><Relationship Id="rId76" Type="http://schemas.openxmlformats.org/officeDocument/2006/relationships/hyperlink" Target="https://www.amazon.es/vine/vine-items?queue=encore&amp;pn=5866088031&amp;cn=11607087030" TargetMode="External"/><Relationship Id="rId97" Type="http://schemas.openxmlformats.org/officeDocument/2006/relationships/hyperlink" Target="https://www.amazon.es/vine/vine-items?queue=encore&amp;pn=1571259031&amp;cn=6933479030" TargetMode="External"/><Relationship Id="rId104" Type="http://schemas.openxmlformats.org/officeDocument/2006/relationships/hyperlink" Target="https://www.amazon.es/vine/vine-items?queue=encore&amp;pn=599385031&amp;cn=2406884030" TargetMode="External"/><Relationship Id="rId120" Type="http://schemas.openxmlformats.org/officeDocument/2006/relationships/hyperlink" Target="https://www.amazon.es/vine/vine-items?queue=encore&amp;pn=3628728031&amp;cn=5279415030" TargetMode="External"/><Relationship Id="rId125" Type="http://schemas.openxmlformats.org/officeDocument/2006/relationships/hyperlink" Target="https://www.amazon.es/vine/vine-items?queue=encore&amp;pn=3564289031&amp;cn=5121397030" TargetMode="External"/><Relationship Id="rId141" Type="http://schemas.openxmlformats.org/officeDocument/2006/relationships/hyperlink" Target="https://www.amazon.es/vine/vine-items?queue=encore&amp;pn=1703495031&amp;cn=2642990030" TargetMode="External"/><Relationship Id="rId146" Type="http://schemas.openxmlformats.org/officeDocument/2006/relationships/hyperlink" Target="https://www.amazon.es/vine/vine-items?queue=encore&amp;pn=3677430031&amp;cn=5273062030" TargetMode="External"/><Relationship Id="rId167" Type="http://schemas.openxmlformats.org/officeDocument/2006/relationships/hyperlink" Target="https://www.amazon.es/vine/vine-items?queue=encore&amp;pn=3628866031&amp;cn=5917453030" TargetMode="External"/><Relationship Id="rId188" Type="http://schemas.openxmlformats.org/officeDocument/2006/relationships/hyperlink" Target="https://www.amazon.es/vine/vine-items?queue=encore&amp;pn=599370031&amp;cn=1670553030" TargetMode="External"/><Relationship Id="rId7" Type="http://schemas.openxmlformats.org/officeDocument/2006/relationships/hyperlink" Target="https://www.amazon.es/vine/vine-items?queue=encore&amp;pn=599391031&amp;cn=2991451030" TargetMode="External"/><Relationship Id="rId71" Type="http://schemas.openxmlformats.org/officeDocument/2006/relationships/hyperlink" Target="https://www.amazon.es/vine/vine-items?queue=encore&amp;pn=2454136031&amp;cn=3794324030" TargetMode="External"/><Relationship Id="rId92" Type="http://schemas.openxmlformats.org/officeDocument/2006/relationships/hyperlink" Target="https://www.amazon.es/vine/vine-items?queue=encore&amp;pn=1571259031" TargetMode="External"/><Relationship Id="rId162" Type="http://schemas.openxmlformats.org/officeDocument/2006/relationships/hyperlink" Target="https://www.amazon.es/vine/vine-items?queue=encore&amp;pn=3628866031&amp;cn=5917451030" TargetMode="External"/><Relationship Id="rId183" Type="http://schemas.openxmlformats.org/officeDocument/2006/relationships/hyperlink" Target="https://www.amazon.es/vine/vine-items?queue=encore&amp;pn=599370031&amp;cn=1396270030" TargetMode="External"/><Relationship Id="rId2" Type="http://schemas.openxmlformats.org/officeDocument/2006/relationships/hyperlink" Target="https://www.amazon.es/vine/vine-items?queue=encore&amp;pn=599391031&amp;cn=5285555030" TargetMode="External"/><Relationship Id="rId29" Type="http://schemas.openxmlformats.org/officeDocument/2006/relationships/hyperlink" Target="https://www.amazon.es/vine/vine-items?queue=encore&amp;pn=2454133031&amp;cn=3922816030" TargetMode="External"/><Relationship Id="rId24" Type="http://schemas.openxmlformats.org/officeDocument/2006/relationships/hyperlink" Target="https://www.amazon.es/vine/vine-items?queue=encore&amp;pn=667049031&amp;cn=1680665030" TargetMode="External"/><Relationship Id="rId40" Type="http://schemas.openxmlformats.org/officeDocument/2006/relationships/hyperlink" Target="https://www.amazon.es/vine/vine-items?queue=encore&amp;pn=1951051031" TargetMode="External"/><Relationship Id="rId45" Type="http://schemas.openxmlformats.org/officeDocument/2006/relationships/hyperlink" Target="https://www.amazon.es/vine/vine-items?queue=encore&amp;pn=1951051031&amp;cn=3267975030" TargetMode="External"/><Relationship Id="rId66" Type="http://schemas.openxmlformats.org/officeDocument/2006/relationships/hyperlink" Target="https://www.amazon.es/vine/vine-items?queue=encore&amp;pn=2454136031&amp;cn=29102966030" TargetMode="External"/><Relationship Id="rId87" Type="http://schemas.openxmlformats.org/officeDocument/2006/relationships/hyperlink" Target="https://www.amazon.es/vine/vine-items?queue=encore&amp;pn=5866088031&amp;cn=7309799030" TargetMode="External"/><Relationship Id="rId110" Type="http://schemas.openxmlformats.org/officeDocument/2006/relationships/hyperlink" Target="https://www.amazon.es/vine/vine-items?queue=encore&amp;pn=599385031&amp;cn=2407232030" TargetMode="External"/><Relationship Id="rId115" Type="http://schemas.openxmlformats.org/officeDocument/2006/relationships/hyperlink" Target="https://www.amazon.es/vine/vine-items?queue=encore&amp;pn=3628728031" TargetMode="External"/><Relationship Id="rId131" Type="http://schemas.openxmlformats.org/officeDocument/2006/relationships/hyperlink" Target="https://www.amazon.es/vine/vine-items?queue=encore&amp;pn=12472654031&amp;cn=12472654031" TargetMode="External"/><Relationship Id="rId136" Type="http://schemas.openxmlformats.org/officeDocument/2006/relationships/hyperlink" Target="https://www.amazon.es/vine/vine-items?queue=encore&amp;pn=1703495031" TargetMode="External"/><Relationship Id="rId157" Type="http://schemas.openxmlformats.org/officeDocument/2006/relationships/hyperlink" Target="https://www.amazon.es/vine/vine-items?queue=encore&amp;pn=599382031&amp;cn=25447187030" TargetMode="External"/><Relationship Id="rId178" Type="http://schemas.openxmlformats.org/officeDocument/2006/relationships/hyperlink" Target="https://www.amazon.es/vine/vine-items?queue=encore&amp;pn=599370031" TargetMode="External"/><Relationship Id="rId61" Type="http://schemas.openxmlformats.org/officeDocument/2006/relationships/hyperlink" Target="https://www.amazon.es/vine/vine-items?queue=encore&amp;pn=5512276031&amp;cn=6495010030" TargetMode="External"/><Relationship Id="rId82" Type="http://schemas.openxmlformats.org/officeDocument/2006/relationships/hyperlink" Target="https://www.amazon.es/vine/vine-items?queue=encore&amp;pn=5866088031&amp;cn=7695800030" TargetMode="External"/><Relationship Id="rId152" Type="http://schemas.openxmlformats.org/officeDocument/2006/relationships/hyperlink" Target="https://www.amazon.es/vine/vine-items?queue=encore&amp;pn=599382031&amp;cn=599382031" TargetMode="External"/><Relationship Id="rId173" Type="http://schemas.openxmlformats.org/officeDocument/2006/relationships/hyperlink" Target="https://www.amazon.es/vine/vine-items?queue=encore&amp;pn=6198054031&amp;cn=7397448030" TargetMode="External"/><Relationship Id="rId194" Type="http://schemas.openxmlformats.org/officeDocument/2006/relationships/drawing" Target="../drawings/drawing1.xml"/><Relationship Id="rId19" Type="http://schemas.openxmlformats.org/officeDocument/2006/relationships/hyperlink" Target="https://www.amazon.es/vine/vine-items?queue=encore&amp;pn=599391031&amp;cn=5579405030" TargetMode="External"/><Relationship Id="rId14" Type="http://schemas.openxmlformats.org/officeDocument/2006/relationships/hyperlink" Target="https://www.amazon.es/vine/vine-items?queue=encore&amp;pn=599391031&amp;cn=3680439030" TargetMode="External"/><Relationship Id="rId30" Type="http://schemas.openxmlformats.org/officeDocument/2006/relationships/hyperlink" Target="https://www.amazon.es/vine/vine-items?queue=encore&amp;pn=2454133031&amp;cn=3922819030" TargetMode="External"/><Relationship Id="rId35" Type="http://schemas.openxmlformats.org/officeDocument/2006/relationships/hyperlink" Target="https://www.amazon.es/vine/vine-items?queue=encore&amp;pn=2454133031&amp;cn=3922818030" TargetMode="External"/><Relationship Id="rId56" Type="http://schemas.openxmlformats.org/officeDocument/2006/relationships/hyperlink" Target="https://www.amazon.es/vine/vine-items?queue=encore&amp;pn=5512276031&amp;cn=13911558030" TargetMode="External"/><Relationship Id="rId77" Type="http://schemas.openxmlformats.org/officeDocument/2006/relationships/hyperlink" Target="https://www.amazon.es/vine/vine-items?queue=encore&amp;pn=5866088031&amp;cn=11606829030" TargetMode="External"/><Relationship Id="rId100" Type="http://schemas.openxmlformats.org/officeDocument/2006/relationships/hyperlink" Target="https://www.amazon.es/vine/vine-items?queue=encore&amp;pn=1571259031&amp;cn=6933193030" TargetMode="External"/><Relationship Id="rId105" Type="http://schemas.openxmlformats.org/officeDocument/2006/relationships/hyperlink" Target="https://www.amazon.es/vine/vine-items?queue=encore&amp;pn=599385031&amp;cn=2407291030" TargetMode="External"/><Relationship Id="rId126" Type="http://schemas.openxmlformats.org/officeDocument/2006/relationships/hyperlink" Target="https://www.amazon.es/vine/vine-items?queue=encore&amp;pn=3564289031&amp;cn=23372600030" TargetMode="External"/><Relationship Id="rId147" Type="http://schemas.openxmlformats.org/officeDocument/2006/relationships/hyperlink" Target="https://www.amazon.es/vine/vine-items?queue=encore&amp;pn=3677430031&amp;cn=5273060030" TargetMode="External"/><Relationship Id="rId168" Type="http://schemas.openxmlformats.org/officeDocument/2006/relationships/hyperlink" Target="https://www.amazon.es/vine/vine-items?queue=encore&amp;pn=6198072031" TargetMode="External"/><Relationship Id="rId8" Type="http://schemas.openxmlformats.org/officeDocument/2006/relationships/hyperlink" Target="https://www.amazon.es/vine/vine-items?queue=encore&amp;pn=599391031&amp;cn=2991342030" TargetMode="External"/><Relationship Id="rId51" Type="http://schemas.openxmlformats.org/officeDocument/2006/relationships/hyperlink" Target="https://www.amazon.es/vine/vine-items?queue=encore&amp;pn=1951051031&amp;cn=17480980030" TargetMode="External"/><Relationship Id="rId72" Type="http://schemas.openxmlformats.org/officeDocument/2006/relationships/hyperlink" Target="https://www.amazon.es/vine/vine-items?queue=encore&amp;pn=2454136031&amp;cn=2454136031" TargetMode="External"/><Relationship Id="rId93" Type="http://schemas.openxmlformats.org/officeDocument/2006/relationships/hyperlink" Target="https://www.amazon.es/vine/vine-items?queue=encore&amp;pn=1571259031&amp;cn=6933299030" TargetMode="External"/><Relationship Id="rId98" Type="http://schemas.openxmlformats.org/officeDocument/2006/relationships/hyperlink" Target="https://www.amazon.es/vine/vine-items?queue=encore&amp;pn=1571259031&amp;cn=6933766030" TargetMode="External"/><Relationship Id="rId121" Type="http://schemas.openxmlformats.org/officeDocument/2006/relationships/hyperlink" Target="https://www.amazon.es/vine/vine-items?queue=encore&amp;pn=3628728031&amp;cn=5279416030" TargetMode="External"/><Relationship Id="rId142" Type="http://schemas.openxmlformats.org/officeDocument/2006/relationships/hyperlink" Target="https://www.amazon.es/vine/vine-items?queue=encore&amp;pn=1703495031&amp;cn=2642997030" TargetMode="External"/><Relationship Id="rId163" Type="http://schemas.openxmlformats.org/officeDocument/2006/relationships/hyperlink" Target="https://www.amazon.es/vine/vine-items?queue=encore&amp;pn=3628866031&amp;cn=5917441030" TargetMode="External"/><Relationship Id="rId184" Type="http://schemas.openxmlformats.org/officeDocument/2006/relationships/hyperlink" Target="https://www.amazon.es/vine/vine-items?queue=encore&amp;pn=599370031&amp;cn=1397126030" TargetMode="External"/><Relationship Id="rId189" Type="http://schemas.openxmlformats.org/officeDocument/2006/relationships/hyperlink" Target="https://www.amazon.es/vine/vine-items?queue=encore&amp;pn=599370031&amp;cn=1396271030" TargetMode="External"/><Relationship Id="rId3" Type="http://schemas.openxmlformats.org/officeDocument/2006/relationships/hyperlink" Target="https://www.amazon.es/vine/vine-items?queue=encore&amp;pn=599391031&amp;cn=2991577030" TargetMode="External"/><Relationship Id="rId25" Type="http://schemas.openxmlformats.org/officeDocument/2006/relationships/hyperlink" Target="https://www.amazon.es/vine/vine-items?queue=encore&amp;pn=667049031&amp;cn=1680711030" TargetMode="External"/><Relationship Id="rId46" Type="http://schemas.openxmlformats.org/officeDocument/2006/relationships/hyperlink" Target="https://www.amazon.es/vine/vine-items?queue=encore&amp;pn=1951051031&amp;cn=3268496030" TargetMode="External"/><Relationship Id="rId67" Type="http://schemas.openxmlformats.org/officeDocument/2006/relationships/hyperlink" Target="https://www.amazon.es/vine/vine-items?queue=encore&amp;pn=2454136031&amp;cn=3794298030" TargetMode="External"/><Relationship Id="rId116" Type="http://schemas.openxmlformats.org/officeDocument/2006/relationships/hyperlink" Target="https://www.amazon.es/vine/vine-items?queue=encore&amp;pn=3628728031&amp;cn=5279417030" TargetMode="External"/><Relationship Id="rId137" Type="http://schemas.openxmlformats.org/officeDocument/2006/relationships/hyperlink" Target="https://www.amazon.es/vine/vine-items?queue=encore&amp;pn=1703495031&amp;cn=2642993030" TargetMode="External"/><Relationship Id="rId158" Type="http://schemas.openxmlformats.org/officeDocument/2006/relationships/hyperlink" Target="https://www.amazon.es/vine/vine-items?queue=encore&amp;pn=4772050031" TargetMode="External"/><Relationship Id="rId20" Type="http://schemas.openxmlformats.org/officeDocument/2006/relationships/hyperlink" Target="https://www.amazon.es/vine/vine-items?queue=encore&amp;pn=599391031&amp;cn=2991223030" TargetMode="External"/><Relationship Id="rId41" Type="http://schemas.openxmlformats.org/officeDocument/2006/relationships/hyperlink" Target="https://www.amazon.es/vine/vine-items?queue=encore&amp;pn=1951051031&amp;cn=3268226030" TargetMode="External"/><Relationship Id="rId62" Type="http://schemas.openxmlformats.org/officeDocument/2006/relationships/hyperlink" Target="https://www.amazon.es/vine/vine-items?queue=encore&amp;pn=5512276031&amp;cn=30169515030" TargetMode="External"/><Relationship Id="rId83" Type="http://schemas.openxmlformats.org/officeDocument/2006/relationships/hyperlink" Target="https://www.amazon.es/vine/vine-items?queue=encore&amp;pn=5866088031&amp;cn=7309800030" TargetMode="External"/><Relationship Id="rId88" Type="http://schemas.openxmlformats.org/officeDocument/2006/relationships/hyperlink" Target="https://www.amazon.es/vine/vine-items?queue=encore&amp;pn=5866088031&amp;cn=7309790030" TargetMode="External"/><Relationship Id="rId111" Type="http://schemas.openxmlformats.org/officeDocument/2006/relationships/hyperlink" Target="https://www.amazon.es/vine/vine-items?queue=encore&amp;pn=599385031&amp;cn=2407281030" TargetMode="External"/><Relationship Id="rId132" Type="http://schemas.openxmlformats.org/officeDocument/2006/relationships/hyperlink" Target="https://www.amazon.es/vine/vine-items?queue=encore&amp;pn=12472654031&amp;cn=15007293030" TargetMode="External"/><Relationship Id="rId153" Type="http://schemas.openxmlformats.org/officeDocument/2006/relationships/hyperlink" Target="https://www.amazon.es/vine/vine-items?queue=encore&amp;pn=599382031&amp;cn=206234223030" TargetMode="External"/><Relationship Id="rId174" Type="http://schemas.openxmlformats.org/officeDocument/2006/relationships/hyperlink" Target="https://www.amazon.es/vine/vine-items?queue=encore&amp;pn=6198054031&amp;cn=30274096030" TargetMode="External"/><Relationship Id="rId179" Type="http://schemas.openxmlformats.org/officeDocument/2006/relationships/hyperlink" Target="https://www.amazon.es/vine/vine-items?queue=encore&amp;pn=599370031&amp;cn=1397144030" TargetMode="External"/><Relationship Id="rId190" Type="http://schemas.openxmlformats.org/officeDocument/2006/relationships/hyperlink" Target="https://www.amazon.es/vine/vine-items?queue=encore&amp;pn=599370031&amp;cn=1676614030" TargetMode="External"/><Relationship Id="rId15" Type="http://schemas.openxmlformats.org/officeDocument/2006/relationships/hyperlink" Target="https://www.amazon.es/vine/vine-items?queue=encore&amp;pn=599391031&amp;cn=4130616030" TargetMode="External"/><Relationship Id="rId36" Type="http://schemas.openxmlformats.org/officeDocument/2006/relationships/hyperlink" Target="https://www.amazon.es/vine/vine-items?queue=encore&amp;pn=2454133031&amp;cn=3922817030" TargetMode="External"/><Relationship Id="rId57" Type="http://schemas.openxmlformats.org/officeDocument/2006/relationships/hyperlink" Target="https://www.amazon.es/vine/vine-items?queue=encore&amp;pn=5512276031&amp;cn=3948711030" TargetMode="External"/><Relationship Id="rId106" Type="http://schemas.openxmlformats.org/officeDocument/2006/relationships/hyperlink" Target="https://www.amazon.es/vine/vine-items?queue=encore&amp;pn=599385031&amp;cn=2407258030" TargetMode="External"/><Relationship Id="rId127" Type="http://schemas.openxmlformats.org/officeDocument/2006/relationships/hyperlink" Target="https://www.amazon.es/vine/vine-items?queue=encore&amp;pn=3564289031&amp;cn=5121399030" TargetMode="External"/><Relationship Id="rId10" Type="http://schemas.openxmlformats.org/officeDocument/2006/relationships/hyperlink" Target="https://www.amazon.es/vine/vine-items?queue=encore&amp;pn=599391031&amp;cn=4245468030" TargetMode="External"/><Relationship Id="rId31" Type="http://schemas.openxmlformats.org/officeDocument/2006/relationships/hyperlink" Target="https://www.amazon.es/vine/vine-items?queue=encore&amp;pn=2454133031&amp;cn=3922822030" TargetMode="External"/><Relationship Id="rId52" Type="http://schemas.openxmlformats.org/officeDocument/2006/relationships/hyperlink" Target="https://www.amazon.es/vine/vine-items?queue=encore&amp;pn=5512276031" TargetMode="External"/><Relationship Id="rId73" Type="http://schemas.openxmlformats.org/officeDocument/2006/relationships/hyperlink" Target="https://www.amazon.es/vine/vine-items?queue=encore&amp;pn=5866088031" TargetMode="External"/><Relationship Id="rId78" Type="http://schemas.openxmlformats.org/officeDocument/2006/relationships/hyperlink" Target="https://www.amazon.es/vine/vine-items?queue=encore&amp;pn=5866088031&amp;cn=7695796030" TargetMode="External"/><Relationship Id="rId94" Type="http://schemas.openxmlformats.org/officeDocument/2006/relationships/hyperlink" Target="https://www.amazon.es/vine/vine-items?queue=encore&amp;pn=1571259031&amp;cn=6933545030" TargetMode="External"/><Relationship Id="rId99" Type="http://schemas.openxmlformats.org/officeDocument/2006/relationships/hyperlink" Target="https://www.amazon.es/vine/vine-items?queue=encore&amp;pn=1571259031&amp;cn=29481163030" TargetMode="External"/><Relationship Id="rId101" Type="http://schemas.openxmlformats.org/officeDocument/2006/relationships/hyperlink" Target="https://www.amazon.es/vine/vine-items?queue=encore&amp;pn=1571259031&amp;cn=6933953030" TargetMode="External"/><Relationship Id="rId122" Type="http://schemas.openxmlformats.org/officeDocument/2006/relationships/hyperlink" Target="https://www.amazon.es/vine/vine-items?queue=encore&amp;pn=3628728031&amp;cn=5279421030" TargetMode="External"/><Relationship Id="rId143" Type="http://schemas.openxmlformats.org/officeDocument/2006/relationships/hyperlink" Target="https://www.amazon.es/vine/vine-items?queue=encore&amp;pn=3677430031" TargetMode="External"/><Relationship Id="rId148" Type="http://schemas.openxmlformats.org/officeDocument/2006/relationships/hyperlink" Target="https://www.amazon.es/vine/vine-items?queue=encore&amp;pn=3677430031&amp;cn=7480877030" TargetMode="External"/><Relationship Id="rId164" Type="http://schemas.openxmlformats.org/officeDocument/2006/relationships/hyperlink" Target="https://www.amazon.es/vine/vine-items?queue=encore&amp;pn=3628866031&amp;cn=5917448030" TargetMode="External"/><Relationship Id="rId169" Type="http://schemas.openxmlformats.org/officeDocument/2006/relationships/hyperlink" Target="https://www.amazon.es/vine/vine-items?queue=encore&amp;pn=6198072031&amp;cn=7370998030" TargetMode="External"/><Relationship Id="rId185" Type="http://schemas.openxmlformats.org/officeDocument/2006/relationships/hyperlink" Target="https://www.amazon.es/vine/vine-items?queue=encore&amp;pn=599370031&amp;cn=1397128030" TargetMode="External"/><Relationship Id="rId4" Type="http://schemas.openxmlformats.org/officeDocument/2006/relationships/hyperlink" Target="https://www.amazon.es/vine/vine-items?queue=encore&amp;pn=599391031&amp;cn=3703686030" TargetMode="External"/><Relationship Id="rId9" Type="http://schemas.openxmlformats.org/officeDocument/2006/relationships/hyperlink" Target="https://www.amazon.es/vine/vine-items?queue=encore&amp;pn=599391031&amp;cn=3998375030" TargetMode="External"/><Relationship Id="rId180" Type="http://schemas.openxmlformats.org/officeDocument/2006/relationships/hyperlink" Target="https://www.amazon.es/vine/vine-items?queue=encore&amp;pn=599370031&amp;cn=19813440030" TargetMode="External"/><Relationship Id="rId26" Type="http://schemas.openxmlformats.org/officeDocument/2006/relationships/hyperlink" Target="https://www.amazon.es/vine/vine-items?queue=encore&amp;pn=667049031&amp;cn=19874943030" TargetMode="External"/><Relationship Id="rId47" Type="http://schemas.openxmlformats.org/officeDocument/2006/relationships/hyperlink" Target="https://www.amazon.es/vine/vine-items?queue=encore&amp;pn=1951051031&amp;cn=3268507030" TargetMode="External"/><Relationship Id="rId68" Type="http://schemas.openxmlformats.org/officeDocument/2006/relationships/hyperlink" Target="https://www.amazon.es/vine/vine-items?queue=encore&amp;pn=2454136031&amp;cn=29102965030" TargetMode="External"/><Relationship Id="rId89" Type="http://schemas.openxmlformats.org/officeDocument/2006/relationships/hyperlink" Target="https://www.amazon.es/vine/vine-items?queue=encore&amp;pn=5866088031&amp;cn=7695795030" TargetMode="External"/><Relationship Id="rId112" Type="http://schemas.openxmlformats.org/officeDocument/2006/relationships/hyperlink" Target="https://www.amazon.es/vine/vine-items?queue=encore&amp;pn=599385031&amp;cn=2407120030" TargetMode="External"/><Relationship Id="rId133" Type="http://schemas.openxmlformats.org/officeDocument/2006/relationships/hyperlink" Target="https://www.amazon.es/vine/vine-items?queue=encore&amp;pn=12472654031&amp;cn=15007290030" TargetMode="External"/><Relationship Id="rId154" Type="http://schemas.openxmlformats.org/officeDocument/2006/relationships/hyperlink" Target="https://www.amazon.es/vine/vine-items?queue=encore&amp;pn=599382031&amp;cn=29989371030" TargetMode="External"/><Relationship Id="rId175" Type="http://schemas.openxmlformats.org/officeDocument/2006/relationships/hyperlink" Target="https://www.amazon.es/vine/vine-items?queue=encore&amp;pn=6198054031&amp;cn=5273856030" TargetMode="External"/><Relationship Id="rId16" Type="http://schemas.openxmlformats.org/officeDocument/2006/relationships/hyperlink" Target="https://www.amazon.es/vine/vine-items?queue=encore&amp;pn=599391031&amp;cn=2991052030" TargetMode="External"/><Relationship Id="rId37" Type="http://schemas.openxmlformats.org/officeDocument/2006/relationships/hyperlink" Target="https://www.amazon.es/vine/vine-items?queue=encore&amp;pn=2454133031&amp;cn=3922821030" TargetMode="External"/><Relationship Id="rId58" Type="http://schemas.openxmlformats.org/officeDocument/2006/relationships/hyperlink" Target="https://www.amazon.es/vine/vine-items?queue=encore&amp;pn=5512276031&amp;cn=6495004030" TargetMode="External"/><Relationship Id="rId79" Type="http://schemas.openxmlformats.org/officeDocument/2006/relationships/hyperlink" Target="https://www.amazon.es/vine/vine-items?queue=encore&amp;pn=5866088031&amp;cn=17860901030" TargetMode="External"/><Relationship Id="rId102" Type="http://schemas.openxmlformats.org/officeDocument/2006/relationships/hyperlink" Target="https://www.amazon.es/vine/vine-items?queue=encore&amp;pn=599385031" TargetMode="External"/><Relationship Id="rId123" Type="http://schemas.openxmlformats.org/officeDocument/2006/relationships/hyperlink" Target="https://www.amazon.es/vine/vine-items?queue=encore&amp;pn=3564289031" TargetMode="External"/><Relationship Id="rId144" Type="http://schemas.openxmlformats.org/officeDocument/2006/relationships/hyperlink" Target="https://www.amazon.es/vine/vine-items?queue=encore&amp;pn=3677430031&amp;cn=5273066030" TargetMode="External"/><Relationship Id="rId90" Type="http://schemas.openxmlformats.org/officeDocument/2006/relationships/hyperlink" Target="https://www.amazon.es/vine/vine-items?queue=encore&amp;pn=5866088031&amp;cn=7695799030" TargetMode="External"/><Relationship Id="rId165" Type="http://schemas.openxmlformats.org/officeDocument/2006/relationships/hyperlink" Target="https://www.amazon.es/vine/vine-items?queue=encore&amp;pn=3628866031&amp;cn=5917447030" TargetMode="External"/><Relationship Id="rId186" Type="http://schemas.openxmlformats.org/officeDocument/2006/relationships/hyperlink" Target="https://www.amazon.es/vine/vine-items?queue=encore&amp;pn=599370031&amp;cn=1670550030" TargetMode="External"/><Relationship Id="rId27" Type="http://schemas.openxmlformats.org/officeDocument/2006/relationships/hyperlink" Target="https://www.amazon.es/vine/vine-items?queue=encore&amp;pn=667049031&amp;cn=19879501030" TargetMode="External"/><Relationship Id="rId48" Type="http://schemas.openxmlformats.org/officeDocument/2006/relationships/hyperlink" Target="https://www.amazon.es/vine/vine-items?queue=encore&amp;pn=1951051031&amp;cn=3267905030" TargetMode="External"/><Relationship Id="rId69" Type="http://schemas.openxmlformats.org/officeDocument/2006/relationships/hyperlink" Target="https://www.amazon.es/vine/vine-items?queue=encore&amp;pn=2454136031&amp;cn=3794320030" TargetMode="External"/><Relationship Id="rId113" Type="http://schemas.openxmlformats.org/officeDocument/2006/relationships/hyperlink" Target="https://www.amazon.es/vine/vine-items?queue=encore&amp;pn=599385031&amp;cn=2407143030" TargetMode="External"/><Relationship Id="rId134" Type="http://schemas.openxmlformats.org/officeDocument/2006/relationships/hyperlink" Target="https://www.amazon.es/vine/vine-items?queue=encore&amp;pn=12472654031&amp;cn=15007296030" TargetMode="External"/><Relationship Id="rId80" Type="http://schemas.openxmlformats.org/officeDocument/2006/relationships/hyperlink" Target="https://www.amazon.es/vine/vine-items?queue=encore&amp;pn=5866088031&amp;cn=7695797030" TargetMode="External"/><Relationship Id="rId155" Type="http://schemas.openxmlformats.org/officeDocument/2006/relationships/hyperlink" Target="https://www.amazon.es/vine/vine-items?queue=encore&amp;pn=599382031&amp;cn=13847457030" TargetMode="External"/><Relationship Id="rId176" Type="http://schemas.openxmlformats.org/officeDocument/2006/relationships/hyperlink" Target="https://www.amazon.es/vine/vine-items?queue=encore&amp;pn=667040031" TargetMode="External"/><Relationship Id="rId17" Type="http://schemas.openxmlformats.org/officeDocument/2006/relationships/hyperlink" Target="https://www.amazon.es/vine/vine-items?queue=encore&amp;pn=599391031&amp;cn=3998363030" TargetMode="External"/><Relationship Id="rId38" Type="http://schemas.openxmlformats.org/officeDocument/2006/relationships/hyperlink" Target="https://www.amazon.es/vine/vine-items?queue=encore&amp;pn=2454133031&amp;cn=2454133031" TargetMode="External"/><Relationship Id="rId59" Type="http://schemas.openxmlformats.org/officeDocument/2006/relationships/hyperlink" Target="https://www.amazon.es/vine/vine-items?queue=encore&amp;pn=5512276031&amp;cn=6866506030" TargetMode="External"/><Relationship Id="rId103" Type="http://schemas.openxmlformats.org/officeDocument/2006/relationships/hyperlink" Target="https://www.amazon.es/vine/vine-items?queue=encore&amp;pn=599385031&amp;cn=2407076030" TargetMode="External"/><Relationship Id="rId124" Type="http://schemas.openxmlformats.org/officeDocument/2006/relationships/hyperlink" Target="https://www.amazon.es/vine/vine-items?queue=encore&amp;pn=3564289031&amp;cn=5121400030" TargetMode="External"/><Relationship Id="rId70" Type="http://schemas.openxmlformats.org/officeDocument/2006/relationships/hyperlink" Target="https://www.amazon.es/vine/vine-items?queue=encore&amp;pn=2454136031&amp;cn=29102968030" TargetMode="External"/><Relationship Id="rId91" Type="http://schemas.openxmlformats.org/officeDocument/2006/relationships/hyperlink" Target="https://www.amazon.es/vine/vine-items?queue=encore&amp;pn=5866088031&amp;cn=7695801030" TargetMode="External"/><Relationship Id="rId145" Type="http://schemas.openxmlformats.org/officeDocument/2006/relationships/hyperlink" Target="https://www.amazon.es/vine/vine-items?queue=encore&amp;pn=3677430031&amp;cn=5273064030" TargetMode="External"/><Relationship Id="rId166" Type="http://schemas.openxmlformats.org/officeDocument/2006/relationships/hyperlink" Target="https://www.amazon.es/vine/vine-items?queue=encore&amp;pn=3628866031&amp;cn=5917446030" TargetMode="External"/><Relationship Id="rId187" Type="http://schemas.openxmlformats.org/officeDocument/2006/relationships/hyperlink" Target="https://www.amazon.es/vine/vine-items?queue=encore&amp;pn=599370031&amp;cn=1714944030" TargetMode="External"/><Relationship Id="rId1" Type="http://schemas.openxmlformats.org/officeDocument/2006/relationships/hyperlink" Target="https://www.amazon.es/vine/vine-items?queue=encore&amp;pn=599391031" TargetMode="External"/><Relationship Id="rId28" Type="http://schemas.openxmlformats.org/officeDocument/2006/relationships/hyperlink" Target="https://www.amazon.es/vine/vine-items?queue=encore&amp;pn=2454133031" TargetMode="External"/><Relationship Id="rId49" Type="http://schemas.openxmlformats.org/officeDocument/2006/relationships/hyperlink" Target="https://www.amazon.es/vine/vine-items?queue=encore&amp;pn=1951051031&amp;cn=3268419030" TargetMode="External"/><Relationship Id="rId114" Type="http://schemas.openxmlformats.org/officeDocument/2006/relationships/hyperlink" Target="https://www.amazon.es/vine/vine-items?queue=encore&amp;pn=599385031&amp;cn=16215301030" TargetMode="External"/><Relationship Id="rId60" Type="http://schemas.openxmlformats.org/officeDocument/2006/relationships/hyperlink" Target="https://www.amazon.es/vine/vine-items?queue=encore&amp;pn=5512276031&amp;cn=6495007030" TargetMode="External"/><Relationship Id="rId81" Type="http://schemas.openxmlformats.org/officeDocument/2006/relationships/hyperlink" Target="https://www.amazon.es/vine/vine-items?queue=encore&amp;pn=5866088031&amp;cn=7695798030" TargetMode="External"/><Relationship Id="rId135" Type="http://schemas.openxmlformats.org/officeDocument/2006/relationships/hyperlink" Target="https://www.amazon.es/vine/vine-items?queue=encore&amp;pn=12472654031&amp;cn=15007292030" TargetMode="External"/><Relationship Id="rId156" Type="http://schemas.openxmlformats.org/officeDocument/2006/relationships/hyperlink" Target="https://www.amazon.es/vine/vine-items?queue=encore&amp;pn=599382031&amp;cn=23499754030" TargetMode="External"/><Relationship Id="rId177" Type="http://schemas.openxmlformats.org/officeDocument/2006/relationships/hyperlink" Target="https://www.amazon.es/vine/vine-items?queue=encore&amp;pn=667040031&amp;cn=667040031" TargetMode="External"/><Relationship Id="rId18" Type="http://schemas.openxmlformats.org/officeDocument/2006/relationships/hyperlink" Target="https://www.amazon.es/vine/vine-items?queue=encore&amp;pn=599391031&amp;cn=599391031" TargetMode="External"/><Relationship Id="rId39" Type="http://schemas.openxmlformats.org/officeDocument/2006/relationships/hyperlink" Target="https://www.amazon.es/vine/vine-items?queue=encore&amp;pn=2454133031&amp;cn=3703847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5061-2111-4D35-9986-50AAFA23EB66}">
  <sheetPr codeName="Sheet1"/>
  <dimension ref="A1:C6"/>
  <sheetViews>
    <sheetView tabSelected="1" workbookViewId="0">
      <selection activeCell="B3" sqref="B3"/>
    </sheetView>
  </sheetViews>
  <sheetFormatPr defaultRowHeight="15" x14ac:dyDescent="0.25"/>
  <cols>
    <col min="1" max="1" width="10.7109375" bestFit="1" customWidth="1"/>
    <col min="2" max="2" width="21.5703125" bestFit="1" customWidth="1"/>
    <col min="3" max="4" width="16.140625" bestFit="1" customWidth="1"/>
  </cols>
  <sheetData>
    <row r="1" spans="1:3" ht="15.75" thickBot="1" x14ac:dyDescent="0.3">
      <c r="A1" s="5" t="s">
        <v>379</v>
      </c>
      <c r="B1" s="6" t="s">
        <v>378</v>
      </c>
      <c r="C1" s="7" t="s">
        <v>380</v>
      </c>
    </row>
    <row r="2" spans="1:3" x14ac:dyDescent="0.25">
      <c r="A2" s="8" t="s">
        <v>572</v>
      </c>
      <c r="B2" s="4"/>
      <c r="C2" s="10"/>
    </row>
    <row r="3" spans="1:3" x14ac:dyDescent="0.25">
      <c r="A3" s="9" t="s">
        <v>574</v>
      </c>
      <c r="B3" s="3"/>
      <c r="C3" s="11"/>
    </row>
    <row r="4" spans="1:3" x14ac:dyDescent="0.25">
      <c r="A4" s="14"/>
      <c r="B4" s="15"/>
      <c r="C4" s="16"/>
    </row>
    <row r="5" spans="1:3" x14ac:dyDescent="0.25">
      <c r="A5" s="14" t="s">
        <v>573</v>
      </c>
      <c r="B5" s="15"/>
      <c r="C5" s="16"/>
    </row>
    <row r="6" spans="1:3" x14ac:dyDescent="0.25">
      <c r="A6" s="14"/>
      <c r="B6" s="15"/>
      <c r="C6" s="1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2549-CE72-4C05-932B-E34BFCB421E6}">
  <sheetPr codeName="Sheet2"/>
  <dimension ref="A1:F194"/>
  <sheetViews>
    <sheetView zoomScaleNormal="100" workbookViewId="0">
      <selection activeCell="A2" sqref="A2"/>
    </sheetView>
  </sheetViews>
  <sheetFormatPr defaultRowHeight="15" x14ac:dyDescent="0.25"/>
  <cols>
    <col min="1" max="1" width="27" bestFit="1" customWidth="1"/>
    <col min="2" max="2" width="51.85546875" bestFit="1" customWidth="1"/>
    <col min="3" max="3" width="68.85546875" bestFit="1" customWidth="1"/>
    <col min="4" max="4" width="12" bestFit="1" customWidth="1"/>
    <col min="5" max="5" width="13.42578125" bestFit="1" customWidth="1"/>
    <col min="6" max="7" width="85.28515625" bestFit="1" customWidth="1"/>
    <col min="12" max="12" width="55.140625" customWidth="1"/>
    <col min="13" max="13" width="10.28515625" bestFit="1" customWidth="1"/>
  </cols>
  <sheetData>
    <row r="1" spans="1:6" ht="15.75" thickBot="1" x14ac:dyDescent="0.3">
      <c r="A1" s="12" t="s">
        <v>63</v>
      </c>
      <c r="B1" s="13" t="s">
        <v>64</v>
      </c>
      <c r="C1" s="13" t="s">
        <v>65</v>
      </c>
      <c r="D1" s="13" t="s">
        <v>66</v>
      </c>
      <c r="E1" s="13" t="s">
        <v>377</v>
      </c>
      <c r="F1" s="13" t="s">
        <v>386</v>
      </c>
    </row>
    <row r="2" spans="1:6" x14ac:dyDescent="0.25">
      <c r="A2" s="8" t="s">
        <v>0</v>
      </c>
      <c r="B2" s="4"/>
      <c r="C2" s="4" t="str">
        <f>A2 &amp; IF(B2="", "", " - " &amp; B2)</f>
        <v>Electronica</v>
      </c>
      <c r="D2" s="4">
        <v>599370031</v>
      </c>
      <c r="E2" s="4" t="s">
        <v>388</v>
      </c>
      <c r="F2" s="17" t="str">
        <f>"https://www.amazon.es/vine/vine-items?queue=encore&amp;pn=" &amp; D2 &amp; IF(E2 = "", "", "&amp;cn=" &amp; E2)</f>
        <v>https://www.amazon.es/vine/vine-items?queue=encore&amp;pn=599370031</v>
      </c>
    </row>
    <row r="3" spans="1:6" x14ac:dyDescent="0.25">
      <c r="A3" s="9" t="s">
        <v>0</v>
      </c>
      <c r="B3" s="3" t="s">
        <v>55</v>
      </c>
      <c r="C3" s="3" t="str">
        <f>A3 &amp; IF(B3="", "", " - " &amp; B3)</f>
        <v>Electronica - Comunicación móvil y accesorios</v>
      </c>
      <c r="D3" s="3" t="s">
        <v>387</v>
      </c>
      <c r="E3" s="3" t="s">
        <v>389</v>
      </c>
      <c r="F3" s="3" t="str">
        <f>"https://www.amazon.es/vine/vine-items?queue=encore&amp;pn=" &amp; D3 &amp; IF(E3 = "", "", "&amp;cn=" &amp; E3)</f>
        <v>https://www.amazon.es/vine/vine-items?queue=encore&amp;pn=599370031&amp;cn=1397144030</v>
      </c>
    </row>
    <row r="4" spans="1:6" x14ac:dyDescent="0.25">
      <c r="A4" s="9" t="s">
        <v>0</v>
      </c>
      <c r="B4" s="3" t="s">
        <v>56</v>
      </c>
      <c r="C4" s="3" t="str">
        <f>A4 &amp; IF(B4="", "", " - " &amp; B4)</f>
        <v>Electronica - Tecnología para vestir</v>
      </c>
      <c r="D4" s="3" t="s">
        <v>387</v>
      </c>
      <c r="E4" s="3" t="s">
        <v>390</v>
      </c>
      <c r="F4" s="3" t="str">
        <f>"https://www.amazon.es/vine/vine-items?queue=encore&amp;pn=" &amp; D4 &amp; IF(E4 = "", "", "&amp;cn=" &amp; E4)</f>
        <v>https://www.amazon.es/vine/vine-items?queue=encore&amp;pn=599370031&amp;cn=19813440030</v>
      </c>
    </row>
    <row r="5" spans="1:6" x14ac:dyDescent="0.25">
      <c r="A5" s="9" t="s">
        <v>0</v>
      </c>
      <c r="B5" s="3" t="s">
        <v>57</v>
      </c>
      <c r="C5" s="3" t="str">
        <f>A5 &amp; IF(B5="", "", " - " &amp; B5)</f>
        <v>Electronica - Auriculares y accesorios</v>
      </c>
      <c r="D5" s="3" t="s">
        <v>387</v>
      </c>
      <c r="E5" s="3" t="s">
        <v>391</v>
      </c>
      <c r="F5" s="3" t="str">
        <f>"https://www.amazon.es/vine/vine-items?queue=encore&amp;pn=" &amp; D5 &amp; IF(E5 = "", "", "&amp;cn=" &amp; E5)</f>
        <v>https://www.amazon.es/vine/vine-items?queue=encore&amp;pn=599370031&amp;cn=19808502030</v>
      </c>
    </row>
    <row r="6" spans="1:6" x14ac:dyDescent="0.25">
      <c r="A6" s="9" t="s">
        <v>0</v>
      </c>
      <c r="B6" s="3" t="s">
        <v>58</v>
      </c>
      <c r="C6" s="3" t="str">
        <f>A6 &amp; IF(B6="", "", " - " &amp; B6)</f>
        <v>Electronica - TV, vídeo y home cinema</v>
      </c>
      <c r="D6" s="3" t="s">
        <v>387</v>
      </c>
      <c r="E6" s="3" t="s">
        <v>392</v>
      </c>
      <c r="F6" s="3" t="str">
        <f>"https://www.amazon.es/vine/vine-items?queue=encore&amp;pn=" &amp; D6 &amp; IF(E6 = "", "", "&amp;cn=" &amp; E6)</f>
        <v>https://www.amazon.es/vine/vine-items?queue=encore&amp;pn=599370031&amp;cn=1396269030</v>
      </c>
    </row>
    <row r="7" spans="1:6" x14ac:dyDescent="0.25">
      <c r="A7" s="9" t="s">
        <v>0</v>
      </c>
      <c r="B7" s="3" t="s">
        <v>59</v>
      </c>
      <c r="C7" s="3" t="str">
        <f>A7 &amp; IF(B7="", "", " - " &amp; B7)</f>
        <v>Electronica - Fotografía y videocámaras</v>
      </c>
      <c r="D7" s="3" t="s">
        <v>387</v>
      </c>
      <c r="E7" s="3" t="s">
        <v>393</v>
      </c>
      <c r="F7" s="3" t="str">
        <f>"https://www.amazon.es/vine/vine-items?queue=encore&amp;pn=" &amp; D7 &amp; IF(E7 = "", "", "&amp;cn=" &amp; E7)</f>
        <v>https://www.amazon.es/vine/vine-items?queue=encore&amp;pn=599370031&amp;cn=1396270030</v>
      </c>
    </row>
    <row r="8" spans="1:6" x14ac:dyDescent="0.25">
      <c r="A8" s="9" t="s">
        <v>0</v>
      </c>
      <c r="B8" s="3" t="s">
        <v>60</v>
      </c>
      <c r="C8" s="3" t="str">
        <f>A8 &amp; IF(B8="", "", " - " &amp; B8)</f>
        <v>Electronica - Equipos de audio y Hi-Fi</v>
      </c>
      <c r="D8" s="3" t="s">
        <v>387</v>
      </c>
      <c r="E8" s="3" t="s">
        <v>394</v>
      </c>
      <c r="F8" s="3" t="str">
        <f>"https://www.amazon.es/vine/vine-items?queue=encore&amp;pn=" &amp; D8 &amp; IF(E8 = "", "", "&amp;cn=" &amp; E8)</f>
        <v>https://www.amazon.es/vine/vine-items?queue=encore&amp;pn=599370031&amp;cn=1397126030</v>
      </c>
    </row>
    <row r="9" spans="1:6" x14ac:dyDescent="0.25">
      <c r="A9" s="9" t="s">
        <v>0</v>
      </c>
      <c r="B9" s="3" t="s">
        <v>61</v>
      </c>
      <c r="C9" s="3" t="str">
        <f>A9 &amp; IF(B9="", "", " - " &amp; B9)</f>
        <v>Electronica - Audio y vídeo portátil</v>
      </c>
      <c r="D9" s="3" t="s">
        <v>387</v>
      </c>
      <c r="E9" s="3" t="s">
        <v>395</v>
      </c>
      <c r="F9" s="3" t="str">
        <f>"https://www.amazon.es/vine/vine-items?queue=encore&amp;pn=" &amp; D9 &amp; IF(E9 = "", "", "&amp;cn=" &amp; E9)</f>
        <v>https://www.amazon.es/vine/vine-items?queue=encore&amp;pn=599370031&amp;cn=1397128030</v>
      </c>
    </row>
    <row r="10" spans="1:6" x14ac:dyDescent="0.25">
      <c r="A10" s="9" t="s">
        <v>0</v>
      </c>
      <c r="B10" s="3" t="s">
        <v>62</v>
      </c>
      <c r="C10" s="3" t="str">
        <f>A10 &amp; IF(B10="", "", " - " &amp; B10)</f>
        <v>Electronica - Electrónica para vehículos</v>
      </c>
      <c r="D10" s="3" t="s">
        <v>387</v>
      </c>
      <c r="E10" s="3" t="s">
        <v>396</v>
      </c>
      <c r="F10" s="3" t="str">
        <f>"https://www.amazon.es/vine/vine-items?queue=encore&amp;pn=" &amp; D10 &amp; IF(E10 = "", "", "&amp;cn=" &amp; E10)</f>
        <v>https://www.amazon.es/vine/vine-items?queue=encore&amp;pn=599370031&amp;cn=1670550030</v>
      </c>
    </row>
    <row r="11" spans="1:6" x14ac:dyDescent="0.25">
      <c r="A11" s="9" t="s">
        <v>0</v>
      </c>
      <c r="B11" s="3" t="s">
        <v>22</v>
      </c>
      <c r="C11" s="3" t="str">
        <f>A11 &amp; IF(B11="", "", " - " &amp; B11)</f>
        <v>Electronica - Accesorios de alimentación</v>
      </c>
      <c r="D11" s="3" t="s">
        <v>387</v>
      </c>
      <c r="E11" s="3" t="s">
        <v>397</v>
      </c>
      <c r="F11" s="3" t="str">
        <f>"https://www.amazon.es/vine/vine-items?queue=encore&amp;pn=" &amp; D11 &amp; IF(E11 = "", "", "&amp;cn=" &amp; E11)</f>
        <v>https://www.amazon.es/vine/vine-items?queue=encore&amp;pn=599370031&amp;cn=1714944030</v>
      </c>
    </row>
    <row r="12" spans="1:6" x14ac:dyDescent="0.25">
      <c r="A12" s="9" t="s">
        <v>0</v>
      </c>
      <c r="B12" s="3" t="s">
        <v>23</v>
      </c>
      <c r="C12" s="3" t="str">
        <f>A12 &amp; IF(B12="", "", " - " &amp; B12)</f>
        <v>Electronica - Radiocomunicación</v>
      </c>
      <c r="D12" s="3" t="s">
        <v>387</v>
      </c>
      <c r="E12" s="3" t="s">
        <v>398</v>
      </c>
      <c r="F12" s="3" t="str">
        <f>"https://www.amazon.es/vine/vine-items?queue=encore&amp;pn=" &amp; D12 &amp; IF(E12 = "", "", "&amp;cn=" &amp; E12)</f>
        <v>https://www.amazon.es/vine/vine-items?queue=encore&amp;pn=599370031&amp;cn=1670553030</v>
      </c>
    </row>
    <row r="13" spans="1:6" x14ac:dyDescent="0.25">
      <c r="A13" s="9" t="s">
        <v>0</v>
      </c>
      <c r="B13" s="3" t="s">
        <v>24</v>
      </c>
      <c r="C13" s="3" t="str">
        <f>A13 &amp; IF(B13="", "", " - " &amp; B13)</f>
        <v>Electronica - GPS y accesorios</v>
      </c>
      <c r="D13" s="3" t="s">
        <v>387</v>
      </c>
      <c r="E13" s="3" t="s">
        <v>399</v>
      </c>
      <c r="F13" s="3" t="str">
        <f>"https://www.amazon.es/vine/vine-items?queue=encore&amp;pn=" &amp; D13 &amp; IF(E13 = "", "", "&amp;cn=" &amp; E13)</f>
        <v>https://www.amazon.es/vine/vine-items?queue=encore&amp;pn=599370031&amp;cn=1396271030</v>
      </c>
    </row>
    <row r="14" spans="1:6" x14ac:dyDescent="0.25">
      <c r="A14" s="9" t="s">
        <v>0</v>
      </c>
      <c r="B14" s="3" t="s">
        <v>25</v>
      </c>
      <c r="C14" s="3" t="str">
        <f>A14 &amp; IF(B14="", "", " - " &amp; B14)</f>
        <v>Electronica - Pilas y cargadores</v>
      </c>
      <c r="D14" s="3" t="s">
        <v>387</v>
      </c>
      <c r="E14" s="3" t="s">
        <v>400</v>
      </c>
      <c r="F14" s="3" t="str">
        <f>"https://www.amazon.es/vine/vine-items?queue=encore&amp;pn=" &amp; D14 &amp; IF(E14 = "", "", "&amp;cn=" &amp; E14)</f>
        <v>https://www.amazon.es/vine/vine-items?queue=encore&amp;pn=599370031&amp;cn=1676614030</v>
      </c>
    </row>
    <row r="15" spans="1:6" x14ac:dyDescent="0.25">
      <c r="A15" s="9" t="s">
        <v>0</v>
      </c>
      <c r="B15" s="3" t="s">
        <v>26</v>
      </c>
      <c r="C15" s="3" t="str">
        <f>A15 &amp; IF(B15="", "", " - " &amp; B15)</f>
        <v>Electronica - Telefonía fija y accesorios</v>
      </c>
      <c r="D15" s="3" t="s">
        <v>387</v>
      </c>
      <c r="E15" s="3" t="s">
        <v>401</v>
      </c>
      <c r="F15" s="3" t="str">
        <f>"https://www.amazon.es/vine/vine-items?queue=encore&amp;pn=" &amp; D15 &amp; IF(E15 = "", "", "&amp;cn=" &amp; E15)</f>
        <v>https://www.amazon.es/vine/vine-items?queue=encore&amp;pn=599370031&amp;cn=1670552030</v>
      </c>
    </row>
    <row r="16" spans="1:6" x14ac:dyDescent="0.25">
      <c r="A16" s="9" t="s">
        <v>0</v>
      </c>
      <c r="B16" s="3" t="s">
        <v>27</v>
      </c>
      <c r="C16" s="3" t="str">
        <f>A16 &amp; IF(B16="", "", " - " &amp; B16)</f>
        <v>Electronica - Electrónica</v>
      </c>
      <c r="D16" s="3" t="s">
        <v>387</v>
      </c>
      <c r="E16" s="3" t="s">
        <v>387</v>
      </c>
      <c r="F16" s="3" t="str">
        <f>"https://www.amazon.es/vine/vine-items?queue=encore&amp;pn=" &amp; D16 &amp; IF(E16 = "", "", "&amp;cn=" &amp; E16)</f>
        <v>https://www.amazon.es/vine/vine-items?queue=encore&amp;pn=599370031&amp;cn=599370031</v>
      </c>
    </row>
    <row r="17" spans="1:6" x14ac:dyDescent="0.25">
      <c r="A17" s="9" t="s">
        <v>0</v>
      </c>
      <c r="B17" s="3" t="s">
        <v>28</v>
      </c>
      <c r="C17" s="3" t="str">
        <f>A17 &amp; IF(B17="", "", " - " &amp; B17)</f>
        <v>Electronica - Lectores de eBooks y accesorios</v>
      </c>
      <c r="D17" s="3" t="s">
        <v>387</v>
      </c>
      <c r="E17" s="3" t="s">
        <v>402</v>
      </c>
      <c r="F17" s="3" t="str">
        <f>"https://www.amazon.es/vine/vine-items?queue=encore&amp;pn=" &amp; D17 &amp; IF(E17 = "", "", "&amp;cn=" &amp; E17)</f>
        <v>https://www.amazon.es/vine/vine-items?queue=encore&amp;pn=599370031&amp;cn=1670551030</v>
      </c>
    </row>
    <row r="18" spans="1:6" x14ac:dyDescent="0.25">
      <c r="A18" s="9" t="s">
        <v>29</v>
      </c>
      <c r="B18" s="3"/>
      <c r="C18" s="3" t="str">
        <f>A18 &amp; IF(B18="", "", " - " &amp; B18)</f>
        <v>Hogar y cocina</v>
      </c>
      <c r="D18" s="3" t="s">
        <v>403</v>
      </c>
      <c r="E18" s="3" t="s">
        <v>388</v>
      </c>
      <c r="F18" s="3" t="str">
        <f>"https://www.amazon.es/vine/vine-items?queue=encore&amp;pn=" &amp; D18 &amp; IF(E18 = "", "", "&amp;cn=" &amp; E18)</f>
        <v>https://www.amazon.es/vine/vine-items?queue=encore&amp;pn=599391031</v>
      </c>
    </row>
    <row r="19" spans="1:6" x14ac:dyDescent="0.25">
      <c r="A19" s="9" t="s">
        <v>29</v>
      </c>
      <c r="B19" s="3" t="s">
        <v>86</v>
      </c>
      <c r="C19" s="3" t="str">
        <f>A19 &amp; IF(B19="", "", " - " &amp; B19)</f>
        <v>Hogar y cocina - Costura y manualidades</v>
      </c>
      <c r="D19" s="3" t="s">
        <v>403</v>
      </c>
      <c r="E19" s="3" t="s">
        <v>404</v>
      </c>
      <c r="F19" s="3" t="str">
        <f>"https://www.amazon.es/vine/vine-items?queue=encore&amp;pn=" &amp; D19 &amp; IF(E19 = "", "", "&amp;cn=" &amp; E19)</f>
        <v>https://www.amazon.es/vine/vine-items?queue=encore&amp;pn=599391031&amp;cn=5285555030</v>
      </c>
    </row>
    <row r="20" spans="1:6" x14ac:dyDescent="0.25">
      <c r="A20" s="9" t="s">
        <v>29</v>
      </c>
      <c r="B20" s="3" t="s">
        <v>87</v>
      </c>
      <c r="C20" s="3" t="str">
        <f>A20 &amp; IF(B20="", "", " - " &amp; B20)</f>
        <v>Hogar y cocina - Aspiración, limpieza y cuidado de suelo y ventanas</v>
      </c>
      <c r="D20" s="3" t="s">
        <v>403</v>
      </c>
      <c r="E20" s="3" t="s">
        <v>405</v>
      </c>
      <c r="F20" s="3" t="str">
        <f>"https://www.amazon.es/vine/vine-items?queue=encore&amp;pn=" &amp; D20 &amp; IF(E20 = "", "", "&amp;cn=" &amp; E20)</f>
        <v>https://www.amazon.es/vine/vine-items?queue=encore&amp;pn=599391031&amp;cn=2991577030</v>
      </c>
    </row>
    <row r="21" spans="1:6" x14ac:dyDescent="0.25">
      <c r="A21" s="9" t="s">
        <v>29</v>
      </c>
      <c r="B21" s="3" t="s">
        <v>88</v>
      </c>
      <c r="C21" s="3" t="str">
        <f>A21 &amp; IF(B21="", "", " - " &amp; B21)</f>
        <v>Hogar y cocina - Decoración del hogar</v>
      </c>
      <c r="D21" s="3" t="s">
        <v>403</v>
      </c>
      <c r="E21" s="3" t="s">
        <v>406</v>
      </c>
      <c r="F21" s="3" t="str">
        <f>"https://www.amazon.es/vine/vine-items?queue=encore&amp;pn=" &amp; D21 &amp; IF(E21 = "", "", "&amp;cn=" &amp; E21)</f>
        <v>https://www.amazon.es/vine/vine-items?queue=encore&amp;pn=599391031&amp;cn=3703686030</v>
      </c>
    </row>
    <row r="22" spans="1:6" x14ac:dyDescent="0.25">
      <c r="A22" s="9" t="s">
        <v>29</v>
      </c>
      <c r="B22" s="3" t="s">
        <v>89</v>
      </c>
      <c r="C22" s="3" t="str">
        <f>A22 &amp; IF(B22="", "", " - " &amp; B22)</f>
        <v>Hogar y cocina - Climatización y calefacción</v>
      </c>
      <c r="D22" s="3" t="s">
        <v>403</v>
      </c>
      <c r="E22" s="3" t="s">
        <v>407</v>
      </c>
      <c r="F22" s="3" t="str">
        <f>"https://www.amazon.es/vine/vine-items?queue=encore&amp;pn=" &amp; D22 &amp; IF(E22 = "", "", "&amp;cn=" &amp; E22)</f>
        <v>https://www.amazon.es/vine/vine-items?queue=encore&amp;pn=599391031&amp;cn=4503992030</v>
      </c>
    </row>
    <row r="23" spans="1:6" x14ac:dyDescent="0.25">
      <c r="A23" s="9" t="s">
        <v>29</v>
      </c>
      <c r="B23" s="3" t="s">
        <v>90</v>
      </c>
      <c r="C23" s="3" t="str">
        <f>A23 &amp; IF(B23="", "", " - " &amp; B23)</f>
        <v>Hogar y cocina - Pequeño electrodoméstico</v>
      </c>
      <c r="D23" s="3" t="s">
        <v>403</v>
      </c>
      <c r="E23" s="3" t="s">
        <v>408</v>
      </c>
      <c r="F23" s="3" t="str">
        <f>"https://www.amazon.es/vine/vine-items?queue=encore&amp;pn=" &amp; D23 &amp; IF(E23 = "", "", "&amp;cn=" &amp; E23)</f>
        <v>https://www.amazon.es/vine/vine-items?queue=encore&amp;pn=599391031&amp;cn=2991261030</v>
      </c>
    </row>
    <row r="24" spans="1:6" x14ac:dyDescent="0.25">
      <c r="A24" s="9" t="s">
        <v>29</v>
      </c>
      <c r="B24" s="3" t="s">
        <v>91</v>
      </c>
      <c r="C24" s="3" t="str">
        <f>A24 &amp; IF(B24="", "", " - " &amp; B24)</f>
        <v>Hogar y cocina - Utensilios</v>
      </c>
      <c r="D24" s="3" t="s">
        <v>403</v>
      </c>
      <c r="E24" s="3" t="s">
        <v>409</v>
      </c>
      <c r="F24" s="3" t="str">
        <f>"https://www.amazon.es/vine/vine-items?queue=encore&amp;pn=" &amp; D24 &amp; IF(E24 = "", "", "&amp;cn=" &amp; E24)</f>
        <v>https://www.amazon.es/vine/vine-items?queue=encore&amp;pn=599391031&amp;cn=2991451030</v>
      </c>
    </row>
    <row r="25" spans="1:6" x14ac:dyDescent="0.25">
      <c r="A25" s="9" t="s">
        <v>29</v>
      </c>
      <c r="B25" s="3" t="s">
        <v>92</v>
      </c>
      <c r="C25" s="3" t="str">
        <f>A25 &amp; IF(B25="", "", " - " &amp; B25)</f>
        <v>Hogar y cocina - Cubertería, vajilla y cristalería</v>
      </c>
      <c r="D25" s="3" t="s">
        <v>403</v>
      </c>
      <c r="E25" s="3" t="s">
        <v>410</v>
      </c>
      <c r="F25" s="3" t="str">
        <f>"https://www.amazon.es/vine/vine-items?queue=encore&amp;pn=" &amp; D25 &amp; IF(E25 = "", "", "&amp;cn=" &amp; E25)</f>
        <v>https://www.amazon.es/vine/vine-items?queue=encore&amp;pn=599391031&amp;cn=2991342030</v>
      </c>
    </row>
    <row r="26" spans="1:6" x14ac:dyDescent="0.25">
      <c r="A26" s="9" t="s">
        <v>29</v>
      </c>
      <c r="B26" s="3" t="s">
        <v>93</v>
      </c>
      <c r="C26" s="3" t="str">
        <f>A26 &amp; IF(B26="", "", " - " &amp; B26)</f>
        <v>Hogar y cocina - Repostería</v>
      </c>
      <c r="D26" s="3" t="s">
        <v>403</v>
      </c>
      <c r="E26" s="3" t="s">
        <v>411</v>
      </c>
      <c r="F26" s="3" t="str">
        <f>"https://www.amazon.es/vine/vine-items?queue=encore&amp;pn=" &amp; D26 &amp; IF(E26 = "", "", "&amp;cn=" &amp; E26)</f>
        <v>https://www.amazon.es/vine/vine-items?queue=encore&amp;pn=599391031&amp;cn=3998375030</v>
      </c>
    </row>
    <row r="27" spans="1:6" x14ac:dyDescent="0.25">
      <c r="A27" s="9" t="s">
        <v>29</v>
      </c>
      <c r="B27" s="3" t="s">
        <v>94</v>
      </c>
      <c r="C27" s="3" t="str">
        <f>A27 &amp; IF(B27="", "", " - " &amp; B27)</f>
        <v>Hogar y cocina - Almacenamiento y organización</v>
      </c>
      <c r="D27" s="3" t="s">
        <v>403</v>
      </c>
      <c r="E27" s="3" t="s">
        <v>412</v>
      </c>
      <c r="F27" s="3" t="str">
        <f>"https://www.amazon.es/vine/vine-items?queue=encore&amp;pn=" &amp; D27 &amp; IF(E27 = "", "", "&amp;cn=" &amp; E27)</f>
        <v>https://www.amazon.es/vine/vine-items?queue=encore&amp;pn=599391031&amp;cn=4245468030</v>
      </c>
    </row>
    <row r="28" spans="1:6" x14ac:dyDescent="0.25">
      <c r="A28" s="9" t="s">
        <v>29</v>
      </c>
      <c r="B28" s="3" t="s">
        <v>95</v>
      </c>
      <c r="C28" s="3" t="str">
        <f>A28 &amp; IF(B28="", "", " - " &amp; B28)</f>
        <v>Hogar y cocina - Productos y utensilios de limpieza</v>
      </c>
      <c r="D28" s="3" t="s">
        <v>403</v>
      </c>
      <c r="E28" s="3" t="s">
        <v>413</v>
      </c>
      <c r="F28" s="3" t="str">
        <f>"https://www.amazon.es/vine/vine-items?queue=encore&amp;pn=" &amp; D28 &amp; IF(E28 = "", "", "&amp;cn=" &amp; E28)</f>
        <v>https://www.amazon.es/vine/vine-items?queue=encore&amp;pn=599391031&amp;cn=4578274030</v>
      </c>
    </row>
    <row r="29" spans="1:6" x14ac:dyDescent="0.25">
      <c r="A29" s="9" t="s">
        <v>29</v>
      </c>
      <c r="B29" s="3" t="s">
        <v>96</v>
      </c>
      <c r="C29" s="3" t="str">
        <f>A29 &amp; IF(B29="", "", " - " &amp; B29)</f>
        <v>Hogar y cocina - Almacenamiento de cocina y despensa</v>
      </c>
      <c r="D29" s="3" t="s">
        <v>403</v>
      </c>
      <c r="E29" s="3" t="s">
        <v>414</v>
      </c>
      <c r="F29" s="3" t="str">
        <f>"https://www.amazon.es/vine/vine-items?queue=encore&amp;pn=" &amp; D29 &amp; IF(E29 = "", "", "&amp;cn=" &amp; E29)</f>
        <v>https://www.amazon.es/vine/vine-items?queue=encore&amp;pn=599391031&amp;cn=2991109030</v>
      </c>
    </row>
    <row r="30" spans="1:6" x14ac:dyDescent="0.25">
      <c r="A30" s="9" t="s">
        <v>29</v>
      </c>
      <c r="B30" s="3" t="s">
        <v>97</v>
      </c>
      <c r="C30" s="3" t="str">
        <f>A30 &amp; IF(B30="", "", " - " &amp; B30)</f>
        <v>Hogar y cocina - Baño</v>
      </c>
      <c r="D30" s="3" t="s">
        <v>403</v>
      </c>
      <c r="E30" s="3" t="s">
        <v>415</v>
      </c>
      <c r="F30" s="3" t="str">
        <f>"https://www.amazon.es/vine/vine-items?queue=encore&amp;pn=" &amp; D30 &amp; IF(E30 = "", "", "&amp;cn=" &amp; E30)</f>
        <v>https://www.amazon.es/vine/vine-items?queue=encore&amp;pn=599391031&amp;cn=4125251030</v>
      </c>
    </row>
    <row r="31" spans="1:6" x14ac:dyDescent="0.25">
      <c r="A31" s="9" t="s">
        <v>29</v>
      </c>
      <c r="B31" s="3" t="s">
        <v>98</v>
      </c>
      <c r="C31" s="3" t="str">
        <f>A31 &amp; IF(B31="", "", " - " &amp; B31)</f>
        <v>Hogar y cocina - Muebles</v>
      </c>
      <c r="D31" s="3" t="s">
        <v>403</v>
      </c>
      <c r="E31" s="3" t="s">
        <v>416</v>
      </c>
      <c r="F31" s="3" t="str">
        <f>"https://www.amazon.es/vine/vine-items?queue=encore&amp;pn=" &amp; D31 &amp; IF(E31 = "", "", "&amp;cn=" &amp; E31)</f>
        <v>https://www.amazon.es/vine/vine-items?queue=encore&amp;pn=599391031&amp;cn=3680439030</v>
      </c>
    </row>
    <row r="32" spans="1:6" x14ac:dyDescent="0.25">
      <c r="A32" s="9" t="s">
        <v>29</v>
      </c>
      <c r="B32" s="3" t="s">
        <v>99</v>
      </c>
      <c r="C32" s="3" t="str">
        <f>A32 &amp; IF(B32="", "", " - " &amp; B32)</f>
        <v>Hogar y cocina - Textiles del hogar</v>
      </c>
      <c r="D32" s="3" t="s">
        <v>403</v>
      </c>
      <c r="E32" s="3" t="s">
        <v>417</v>
      </c>
      <c r="F32" s="3" t="str">
        <f>"https://www.amazon.es/vine/vine-items?queue=encore&amp;pn=" &amp; D32 &amp; IF(E32 = "", "", "&amp;cn=" &amp; E32)</f>
        <v>https://www.amazon.es/vine/vine-items?queue=encore&amp;pn=599391031&amp;cn=4130616030</v>
      </c>
    </row>
    <row r="33" spans="1:6" x14ac:dyDescent="0.25">
      <c r="A33" s="9" t="s">
        <v>29</v>
      </c>
      <c r="B33" s="3" t="s">
        <v>100</v>
      </c>
      <c r="C33" s="3" t="str">
        <f>A33 &amp; IF(B33="", "", " - " &amp; B33)</f>
        <v>Hogar y cocina - Café y té</v>
      </c>
      <c r="D33" s="3" t="s">
        <v>403</v>
      </c>
      <c r="E33" s="3" t="s">
        <v>418</v>
      </c>
      <c r="F33" s="3" t="str">
        <f>"https://www.amazon.es/vine/vine-items?queue=encore&amp;pn=" &amp; D33 &amp; IF(E33 = "", "", "&amp;cn=" &amp; E33)</f>
        <v>https://www.amazon.es/vine/vine-items?queue=encore&amp;pn=599391031&amp;cn=2991052030</v>
      </c>
    </row>
    <row r="34" spans="1:6" x14ac:dyDescent="0.25">
      <c r="A34" s="9" t="s">
        <v>29</v>
      </c>
      <c r="B34" s="3" t="s">
        <v>101</v>
      </c>
      <c r="C34" s="3" t="str">
        <f>A34 &amp; IF(B34="", "", " - " &amp; B34)</f>
        <v>Hogar y cocina - Menaje de cocina</v>
      </c>
      <c r="D34" s="3" t="s">
        <v>403</v>
      </c>
      <c r="E34" s="3" t="s">
        <v>419</v>
      </c>
      <c r="F34" s="3" t="str">
        <f>"https://www.amazon.es/vine/vine-items?queue=encore&amp;pn=" &amp; D34 &amp; IF(E34 = "", "", "&amp;cn=" &amp; E34)</f>
        <v>https://www.amazon.es/vine/vine-items?queue=encore&amp;pn=599391031&amp;cn=3998363030</v>
      </c>
    </row>
    <row r="35" spans="1:6" x14ac:dyDescent="0.25">
      <c r="A35" s="9" t="s">
        <v>29</v>
      </c>
      <c r="B35" s="3" t="s">
        <v>29</v>
      </c>
      <c r="C35" s="3" t="str">
        <f>A35 &amp; IF(B35="", "", " - " &amp; B35)</f>
        <v>Hogar y cocina - Hogar y cocina</v>
      </c>
      <c r="D35" s="3" t="s">
        <v>403</v>
      </c>
      <c r="E35" s="3" t="s">
        <v>403</v>
      </c>
      <c r="F35" s="3" t="str">
        <f>"https://www.amazon.es/vine/vine-items?queue=encore&amp;pn=" &amp; D35 &amp; IF(E35 = "", "", "&amp;cn=" &amp; E35)</f>
        <v>https://www.amazon.es/vine/vine-items?queue=encore&amp;pn=599391031&amp;cn=599391031</v>
      </c>
    </row>
    <row r="36" spans="1:6" x14ac:dyDescent="0.25">
      <c r="A36" s="9" t="s">
        <v>29</v>
      </c>
      <c r="B36" s="3" t="s">
        <v>102</v>
      </c>
      <c r="C36" s="3" t="str">
        <f>A36 &amp; IF(B36="", "", " - " &amp; B36)</f>
        <v>Hogar y cocina - Obras de arte y material decorativo</v>
      </c>
      <c r="D36" s="3" t="s">
        <v>403</v>
      </c>
      <c r="E36" s="3" t="s">
        <v>420</v>
      </c>
      <c r="F36" s="3" t="str">
        <f>"https://www.amazon.es/vine/vine-items?queue=encore&amp;pn=" &amp; D36 &amp; IF(E36 = "", "", "&amp;cn=" &amp; E36)</f>
        <v>https://www.amazon.es/vine/vine-items?queue=encore&amp;pn=599391031&amp;cn=5579405030</v>
      </c>
    </row>
    <row r="37" spans="1:6" x14ac:dyDescent="0.25">
      <c r="A37" s="9" t="s">
        <v>29</v>
      </c>
      <c r="B37" s="3" t="s">
        <v>103</v>
      </c>
      <c r="C37" s="3" t="str">
        <f>A37 &amp; IF(B37="", "", " - " &amp; B37)</f>
        <v>Hogar y cocina - Fabricación de cerveza y vino</v>
      </c>
      <c r="D37" s="3" t="s">
        <v>403</v>
      </c>
      <c r="E37" s="3" t="s">
        <v>421</v>
      </c>
      <c r="F37" s="3" t="str">
        <f>"https://www.amazon.es/vine/vine-items?queue=encore&amp;pn=" &amp; D37 &amp; IF(E37 = "", "", "&amp;cn=" &amp; E37)</f>
        <v>https://www.amazon.es/vine/vine-items?queue=encore&amp;pn=599391031&amp;cn=2991223030</v>
      </c>
    </row>
    <row r="38" spans="1:6" x14ac:dyDescent="0.25">
      <c r="A38" s="9" t="s">
        <v>30</v>
      </c>
      <c r="B38" s="3"/>
      <c r="C38" s="3" t="str">
        <f>A38 &amp; IF(B38="", "", " - " &amp; B38)</f>
        <v>Informática</v>
      </c>
      <c r="D38" s="3" t="s">
        <v>422</v>
      </c>
      <c r="E38" s="3" t="s">
        <v>388</v>
      </c>
      <c r="F38" s="3" t="str">
        <f>"https://www.amazon.es/vine/vine-items?queue=encore&amp;pn=" &amp; D38 &amp; IF(E38 = "", "", "&amp;cn=" &amp; E38)</f>
        <v>https://www.amazon.es/vine/vine-items?queue=encore&amp;pn=667049031</v>
      </c>
    </row>
    <row r="39" spans="1:6" x14ac:dyDescent="0.25">
      <c r="A39" s="9" t="s">
        <v>30</v>
      </c>
      <c r="B39" s="3" t="s">
        <v>111</v>
      </c>
      <c r="C39" s="3" t="str">
        <f>A39 &amp; IF(B39="", "", " - " &amp; B39)</f>
        <v>Informática - Accesorios</v>
      </c>
      <c r="D39" s="3" t="s">
        <v>422</v>
      </c>
      <c r="E39" s="3" t="s">
        <v>423</v>
      </c>
      <c r="F39" s="3" t="str">
        <f>"https://www.amazon.es/vine/vine-items?queue=encore&amp;pn=" &amp; D39 &amp; IF(E39 = "", "", "&amp;cn=" &amp; E39)</f>
        <v>https://www.amazon.es/vine/vine-items?queue=encore&amp;pn=667049031&amp;cn=1680506030</v>
      </c>
    </row>
    <row r="40" spans="1:6" x14ac:dyDescent="0.25">
      <c r="A40" s="9" t="s">
        <v>30</v>
      </c>
      <c r="B40" s="3" t="s">
        <v>112</v>
      </c>
      <c r="C40" s="3" t="str">
        <f>A40 &amp; IF(B40="", "", " - " &amp; B40)</f>
        <v>Informática - Impresoras y accesorios</v>
      </c>
      <c r="D40" s="3" t="s">
        <v>422</v>
      </c>
      <c r="E40" s="3" t="s">
        <v>424</v>
      </c>
      <c r="F40" s="3" t="str">
        <f>"https://www.amazon.es/vine/vine-items?queue=encore&amp;pn=" &amp; D40 &amp; IF(E40 = "", "", "&amp;cn=" &amp; E40)</f>
        <v>https://www.amazon.es/vine/vine-items?queue=encore&amp;pn=667049031&amp;cn=19879505030</v>
      </c>
    </row>
    <row r="41" spans="1:6" x14ac:dyDescent="0.25">
      <c r="A41" s="9" t="s">
        <v>30</v>
      </c>
      <c r="B41" s="3" t="s">
        <v>113</v>
      </c>
      <c r="C41" s="3" t="str">
        <f>A41 &amp; IF(B41="", "", " - " &amp; B41)</f>
        <v>Informática - Componentes</v>
      </c>
      <c r="D41" s="3" t="s">
        <v>422</v>
      </c>
      <c r="E41" s="3" t="s">
        <v>425</v>
      </c>
      <c r="F41" s="3" t="str">
        <f>"https://www.amazon.es/vine/vine-items?queue=encore&amp;pn=" &amp; D41 &amp; IF(E41 = "", "", "&amp;cn=" &amp; E41)</f>
        <v>https://www.amazon.es/vine/vine-items?queue=encore&amp;pn=667049031&amp;cn=1680665030</v>
      </c>
    </row>
    <row r="42" spans="1:6" x14ac:dyDescent="0.25">
      <c r="A42" s="9" t="s">
        <v>30</v>
      </c>
      <c r="B42" s="3" t="s">
        <v>114</v>
      </c>
      <c r="C42" s="3" t="str">
        <f>A42 &amp; IF(B42="", "", " - " &amp; B42)</f>
        <v>Informática - Dispositivos de red</v>
      </c>
      <c r="D42" s="3" t="s">
        <v>422</v>
      </c>
      <c r="E42" s="3" t="s">
        <v>426</v>
      </c>
      <c r="F42" s="3" t="str">
        <f>"https://www.amazon.es/vine/vine-items?queue=encore&amp;pn=" &amp; D42 &amp; IF(E42 = "", "", "&amp;cn=" &amp; E42)</f>
        <v>https://www.amazon.es/vine/vine-items?queue=encore&amp;pn=667049031&amp;cn=1680711030</v>
      </c>
    </row>
    <row r="43" spans="1:6" x14ac:dyDescent="0.25">
      <c r="A43" s="9" t="s">
        <v>30</v>
      </c>
      <c r="B43" s="3" t="s">
        <v>115</v>
      </c>
      <c r="C43" s="3" t="str">
        <f>A43 &amp; IF(B43="", "", " - " &amp; B43)</f>
        <v>Informática - Almacenamiento de datos</v>
      </c>
      <c r="D43" s="3" t="s">
        <v>422</v>
      </c>
      <c r="E43" s="3" t="s">
        <v>427</v>
      </c>
      <c r="F43" s="3" t="str">
        <f>"https://www.amazon.es/vine/vine-items?queue=encore&amp;pn=" &amp; D43 &amp; IF(E43 = "", "", "&amp;cn=" &amp; E43)</f>
        <v>https://www.amazon.es/vine/vine-items?queue=encore&amp;pn=667049031&amp;cn=19874943030</v>
      </c>
    </row>
    <row r="44" spans="1:6" x14ac:dyDescent="0.25">
      <c r="A44" s="9" t="s">
        <v>30</v>
      </c>
      <c r="B44" s="3" t="s">
        <v>116</v>
      </c>
      <c r="C44" s="3" t="str">
        <f>A44 &amp; IF(B44="", "", " - " &amp; B44)</f>
        <v>Informática - Escáneres y accesorios</v>
      </c>
      <c r="D44" s="3" t="s">
        <v>422</v>
      </c>
      <c r="E44" s="3" t="s">
        <v>428</v>
      </c>
      <c r="F44" s="3" t="str">
        <f>"https://www.amazon.es/vine/vine-items?queue=encore&amp;pn=" &amp; D44 &amp; IF(E44 = "", "", "&amp;cn=" &amp; E44)</f>
        <v>https://www.amazon.es/vine/vine-items?queue=encore&amp;pn=667049031&amp;cn=19879501030</v>
      </c>
    </row>
    <row r="45" spans="1:6" x14ac:dyDescent="0.25">
      <c r="A45" s="9" t="s">
        <v>31</v>
      </c>
      <c r="B45" s="3"/>
      <c r="C45" s="3" t="str">
        <f>A45 &amp; IF(B45="", "", " - " &amp; B45)</f>
        <v>Bricolaje y herramientas</v>
      </c>
      <c r="D45" s="3" t="s">
        <v>429</v>
      </c>
      <c r="E45" s="3" t="s">
        <v>388</v>
      </c>
      <c r="F45" s="3" t="str">
        <f>"https://www.amazon.es/vine/vine-items?queue=encore&amp;pn=" &amp; D45 &amp; IF(E45 = "", "", "&amp;cn=" &amp; E45)</f>
        <v>https://www.amazon.es/vine/vine-items?queue=encore&amp;pn=2454133031</v>
      </c>
    </row>
    <row r="46" spans="1:6" x14ac:dyDescent="0.25">
      <c r="A46" s="9" t="s">
        <v>31</v>
      </c>
      <c r="B46" s="3" t="s">
        <v>128</v>
      </c>
      <c r="C46" s="3" t="str">
        <f>A46 &amp; IF(B46="", "", " - " &amp; B46)</f>
        <v>Bricolaje y herramientas - Ferretería</v>
      </c>
      <c r="D46" s="3" t="s">
        <v>429</v>
      </c>
      <c r="E46" s="3" t="s">
        <v>430</v>
      </c>
      <c r="F46" s="3" t="str">
        <f>"https://www.amazon.es/vine/vine-items?queue=encore&amp;pn=" &amp; D46 &amp; IF(E46 = "", "", "&amp;cn=" &amp; E46)</f>
        <v>https://www.amazon.es/vine/vine-items?queue=encore&amp;pn=2454133031&amp;cn=3922816030</v>
      </c>
    </row>
    <row r="47" spans="1:6" x14ac:dyDescent="0.25">
      <c r="A47" s="9" t="s">
        <v>31</v>
      </c>
      <c r="B47" s="3" t="s">
        <v>129</v>
      </c>
      <c r="C47" s="3" t="str">
        <f>A47 &amp; IF(B47="", "", " - " &amp; B47)</f>
        <v>Bricolaje y herramientas - Herramientas manuales y eléctricas</v>
      </c>
      <c r="D47" s="3" t="s">
        <v>429</v>
      </c>
      <c r="E47" s="3" t="s">
        <v>431</v>
      </c>
      <c r="F47" s="3" t="str">
        <f>"https://www.amazon.es/vine/vine-items?queue=encore&amp;pn=" &amp; D47 &amp; IF(E47 = "", "", "&amp;cn=" &amp; E47)</f>
        <v>https://www.amazon.es/vine/vine-items?queue=encore&amp;pn=2454133031&amp;cn=3922819030</v>
      </c>
    </row>
    <row r="48" spans="1:6" x14ac:dyDescent="0.25">
      <c r="A48" s="9" t="s">
        <v>31</v>
      </c>
      <c r="B48" s="3" t="s">
        <v>130</v>
      </c>
      <c r="C48" s="3" t="str">
        <f>A48 &amp; IF(B48="", "", " - " &amp; B48)</f>
        <v>Bricolaje y herramientas - Pinturas, herramientas y tratamiento de paredes</v>
      </c>
      <c r="D48" s="3" t="s">
        <v>429</v>
      </c>
      <c r="E48" s="3" t="s">
        <v>432</v>
      </c>
      <c r="F48" s="3" t="str">
        <f>"https://www.amazon.es/vine/vine-items?queue=encore&amp;pn=" &amp; D48 &amp; IF(E48 = "", "", "&amp;cn=" &amp; E48)</f>
        <v>https://www.amazon.es/vine/vine-items?queue=encore&amp;pn=2454133031&amp;cn=3922822030</v>
      </c>
    </row>
    <row r="49" spans="1:6" x14ac:dyDescent="0.25">
      <c r="A49" s="9" t="s">
        <v>31</v>
      </c>
      <c r="B49" s="3" t="s">
        <v>131</v>
      </c>
      <c r="C49" s="3" t="str">
        <f>A49 &amp; IF(B49="", "", " - " &amp; B49)</f>
        <v>Bricolaje y herramientas - Suministros de construcción</v>
      </c>
      <c r="D49" s="3" t="s">
        <v>429</v>
      </c>
      <c r="E49" s="3" t="s">
        <v>433</v>
      </c>
      <c r="F49" s="3" t="str">
        <f>"https://www.amazon.es/vine/vine-items?queue=encore&amp;pn=" &amp; D49 &amp; IF(E49 = "", "", "&amp;cn=" &amp; E49)</f>
        <v>https://www.amazon.es/vine/vine-items?queue=encore&amp;pn=2454133031&amp;cn=3922824030</v>
      </c>
    </row>
    <row r="50" spans="1:6" x14ac:dyDescent="0.25">
      <c r="A50" s="9" t="s">
        <v>31</v>
      </c>
      <c r="B50" s="3" t="s">
        <v>132</v>
      </c>
      <c r="C50" s="3" t="str">
        <f>A50 &amp; IF(B50="", "", " - " &amp; B50)</f>
        <v>Bricolaje y herramientas - Prevención y seguridad</v>
      </c>
      <c r="D50" s="3" t="s">
        <v>429</v>
      </c>
      <c r="E50" s="3" t="s">
        <v>434</v>
      </c>
      <c r="F50" s="3" t="str">
        <f>"https://www.amazon.es/vine/vine-items?queue=encore&amp;pn=" &amp; D50 &amp; IF(E50 = "", "", "&amp;cn=" &amp; E50)</f>
        <v>https://www.amazon.es/vine/vine-items?queue=encore&amp;pn=2454133031&amp;cn=3922823030</v>
      </c>
    </row>
    <row r="51" spans="1:6" x14ac:dyDescent="0.25">
      <c r="A51" s="9" t="s">
        <v>31</v>
      </c>
      <c r="B51" s="3" t="s">
        <v>133</v>
      </c>
      <c r="C51" s="3" t="str">
        <f>A51 &amp; IF(B51="", "", " - " &amp; B51)</f>
        <v>Bricolaje y herramientas - Instalación eléctrica</v>
      </c>
      <c r="D51" s="3" t="s">
        <v>429</v>
      </c>
      <c r="E51" s="3" t="s">
        <v>435</v>
      </c>
      <c r="F51" s="3" t="str">
        <f>"https://www.amazon.es/vine/vine-items?queue=encore&amp;pn=" &amp; D51 &amp; IF(E51 = "", "", "&amp;cn=" &amp; E51)</f>
        <v>https://www.amazon.es/vine/vine-items?queue=encore&amp;pn=2454133031&amp;cn=3922815030</v>
      </c>
    </row>
    <row r="52" spans="1:6" x14ac:dyDescent="0.25">
      <c r="A52" s="9" t="s">
        <v>31</v>
      </c>
      <c r="B52" s="3" t="s">
        <v>134</v>
      </c>
      <c r="C52" s="3" t="str">
        <f>A52 &amp; IF(B52="", "", " - " &amp; B52)</f>
        <v>Bricolaje y herramientas - Fontanería</v>
      </c>
      <c r="D52" s="3" t="s">
        <v>429</v>
      </c>
      <c r="E52" s="3" t="s">
        <v>436</v>
      </c>
      <c r="F52" s="3" t="str">
        <f>"https://www.amazon.es/vine/vine-items?queue=encore&amp;pn=" &amp; D52 &amp; IF(E52 = "", "", "&amp;cn=" &amp; E52)</f>
        <v>https://www.amazon.es/vine/vine-items?queue=encore&amp;pn=2454133031&amp;cn=3922818030</v>
      </c>
    </row>
    <row r="53" spans="1:6" x14ac:dyDescent="0.25">
      <c r="A53" s="9" t="s">
        <v>31</v>
      </c>
      <c r="B53" s="3" t="s">
        <v>135</v>
      </c>
      <c r="C53" s="3" t="str">
        <f>A53 &amp; IF(B53="", "", " - " &amp; B53)</f>
        <v>Bricolaje y herramientas - Instalación de baño y cocina</v>
      </c>
      <c r="D53" s="3" t="s">
        <v>429</v>
      </c>
      <c r="E53" s="3" t="s">
        <v>437</v>
      </c>
      <c r="F53" s="3" t="str">
        <f>"https://www.amazon.es/vine/vine-items?queue=encore&amp;pn=" &amp; D53 &amp; IF(E53 = "", "", "&amp;cn=" &amp; E53)</f>
        <v>https://www.amazon.es/vine/vine-items?queue=encore&amp;pn=2454133031&amp;cn=3922817030</v>
      </c>
    </row>
    <row r="54" spans="1:6" x14ac:dyDescent="0.25">
      <c r="A54" s="9" t="s">
        <v>31</v>
      </c>
      <c r="B54" s="3" t="s">
        <v>136</v>
      </c>
      <c r="C54" s="3" t="str">
        <f>A54 &amp; IF(B54="", "", " - " &amp; B54)</f>
        <v>Bricolaje y herramientas - Organización y almacenaje en casa</v>
      </c>
      <c r="D54" s="3" t="s">
        <v>429</v>
      </c>
      <c r="E54" s="3" t="s">
        <v>438</v>
      </c>
      <c r="F54" s="3" t="str">
        <f>"https://www.amazon.es/vine/vine-items?queue=encore&amp;pn=" &amp; D54 &amp; IF(E54 = "", "", "&amp;cn=" &amp; E54)</f>
        <v>https://www.amazon.es/vine/vine-items?queue=encore&amp;pn=2454133031&amp;cn=3922821030</v>
      </c>
    </row>
    <row r="55" spans="1:6" x14ac:dyDescent="0.25">
      <c r="A55" s="9" t="s">
        <v>31</v>
      </c>
      <c r="B55" s="3" t="s">
        <v>31</v>
      </c>
      <c r="C55" s="3" t="str">
        <f>A55 &amp; IF(B55="", "", " - " &amp; B55)</f>
        <v>Bricolaje y herramientas - Bricolaje y herramientas</v>
      </c>
      <c r="D55" s="3" t="s">
        <v>429</v>
      </c>
      <c r="E55" s="3" t="s">
        <v>429</v>
      </c>
      <c r="F55" s="3" t="str">
        <f>"https://www.amazon.es/vine/vine-items?queue=encore&amp;pn=" &amp; D55 &amp; IF(E55 = "", "", "&amp;cn=" &amp; E55)</f>
        <v>https://www.amazon.es/vine/vine-items?queue=encore&amp;pn=2454133031&amp;cn=2454133031</v>
      </c>
    </row>
    <row r="56" spans="1:6" x14ac:dyDescent="0.25">
      <c r="A56" s="9" t="s">
        <v>31</v>
      </c>
      <c r="B56" s="3" t="s">
        <v>137</v>
      </c>
      <c r="C56" s="3" t="str">
        <f>A56 &amp; IF(B56="", "", " - " &amp; B56)</f>
        <v>Bricolaje y herramientas - Chimeneas y accesorios</v>
      </c>
      <c r="D56" s="3" t="s">
        <v>429</v>
      </c>
      <c r="E56" s="3" t="s">
        <v>439</v>
      </c>
      <c r="F56" s="3" t="str">
        <f>"https://www.amazon.es/vine/vine-items?queue=encore&amp;pn=" &amp; D56 &amp; IF(E56 = "", "", "&amp;cn=" &amp; E56)</f>
        <v>https://www.amazon.es/vine/vine-items?queue=encore&amp;pn=2454133031&amp;cn=3703847030</v>
      </c>
    </row>
    <row r="57" spans="1:6" x14ac:dyDescent="0.25">
      <c r="A57" s="9" t="s">
        <v>32</v>
      </c>
      <c r="B57" s="3"/>
      <c r="C57" s="3" t="str">
        <f>A57 &amp; IF(B57="", "", " - " &amp; B57)</f>
        <v>Coche y moto</v>
      </c>
      <c r="D57" s="3" t="s">
        <v>440</v>
      </c>
      <c r="E57" s="3" t="s">
        <v>388</v>
      </c>
      <c r="F57" s="3" t="str">
        <f>"https://www.amazon.es/vine/vine-items?queue=encore&amp;pn=" &amp; D57 &amp; IF(E57 = "", "", "&amp;cn=" &amp; E57)</f>
        <v>https://www.amazon.es/vine/vine-items?queue=encore&amp;pn=1951051031</v>
      </c>
    </row>
    <row r="58" spans="1:6" x14ac:dyDescent="0.25">
      <c r="A58" s="9" t="s">
        <v>32</v>
      </c>
      <c r="B58" s="3" t="s">
        <v>150</v>
      </c>
      <c r="C58" s="3" t="str">
        <f>A58 &amp; IF(B58="", "", " - " &amp; B58)</f>
        <v>Coche y moto - Motos, accesorios y piezas</v>
      </c>
      <c r="D58" s="3" t="s">
        <v>440</v>
      </c>
      <c r="E58" s="3" t="s">
        <v>441</v>
      </c>
      <c r="F58" s="3" t="str">
        <f>"https://www.amazon.es/vine/vine-items?queue=encore&amp;pn=" &amp; D58 &amp; IF(E58 = "", "", "&amp;cn=" &amp; E58)</f>
        <v>https://www.amazon.es/vine/vine-items?queue=encore&amp;pn=1951051031&amp;cn=3268226030</v>
      </c>
    </row>
    <row r="59" spans="1:6" x14ac:dyDescent="0.25">
      <c r="A59" s="9" t="s">
        <v>32</v>
      </c>
      <c r="B59" s="3" t="s">
        <v>151</v>
      </c>
      <c r="C59" s="3" t="str">
        <f>A59 &amp; IF(B59="", "", " - " &amp; B59)</f>
        <v>Coche y moto - Piezas para coche</v>
      </c>
      <c r="D59" s="3" t="s">
        <v>440</v>
      </c>
      <c r="E59" s="3" t="s">
        <v>442</v>
      </c>
      <c r="F59" s="3" t="str">
        <f>"https://www.amazon.es/vine/vine-items?queue=encore&amp;pn=" &amp; D59 &amp; IF(E59 = "", "", "&amp;cn=" &amp; E59)</f>
        <v>https://www.amazon.es/vine/vine-items?queue=encore&amp;pn=1951051031&amp;cn=3267987030</v>
      </c>
    </row>
    <row r="60" spans="1:6" x14ac:dyDescent="0.25">
      <c r="A60" s="9" t="s">
        <v>32</v>
      </c>
      <c r="B60" s="3" t="s">
        <v>152</v>
      </c>
      <c r="C60" s="3" t="str">
        <f>A60 &amp; IF(B60="", "", " - " &amp; B60)</f>
        <v>Coche y moto - Accesorios para coche</v>
      </c>
      <c r="D60" s="3" t="s">
        <v>440</v>
      </c>
      <c r="E60" s="3" t="s">
        <v>443</v>
      </c>
      <c r="F60" s="3" t="str">
        <f>"https://www.amazon.es/vine/vine-items?queue=encore&amp;pn=" &amp; D60 &amp; IF(E60 = "", "", "&amp;cn=" &amp; E60)</f>
        <v>https://www.amazon.es/vine/vine-items?queue=encore&amp;pn=1951051031&amp;cn=3267811030</v>
      </c>
    </row>
    <row r="61" spans="1:6" x14ac:dyDescent="0.25">
      <c r="A61" s="9" t="s">
        <v>32</v>
      </c>
      <c r="B61" s="3" t="s">
        <v>153</v>
      </c>
      <c r="C61" s="3" t="str">
        <f>A61 &amp; IF(B61="", "", " - " &amp; B61)</f>
        <v>Coche y moto - Herramientas para coche</v>
      </c>
      <c r="D61" s="3" t="s">
        <v>440</v>
      </c>
      <c r="E61" s="3" t="s">
        <v>444</v>
      </c>
      <c r="F61" s="3" t="str">
        <f>"https://www.amazon.es/vine/vine-items?queue=encore&amp;pn=" &amp; D61 &amp; IF(E61 = "", "", "&amp;cn=" &amp; E61)</f>
        <v>https://www.amazon.es/vine/vine-items?queue=encore&amp;pn=1951051031&amp;cn=3267965030</v>
      </c>
    </row>
    <row r="62" spans="1:6" x14ac:dyDescent="0.25">
      <c r="A62" s="9" t="s">
        <v>32</v>
      </c>
      <c r="B62" s="3" t="s">
        <v>154</v>
      </c>
      <c r="C62" s="3" t="str">
        <f>A62 &amp; IF(B62="", "", " - " &amp; B62)</f>
        <v>Coche y moto - Neumáticos y llantas</v>
      </c>
      <c r="D62" s="3" t="s">
        <v>440</v>
      </c>
      <c r="E62" s="3" t="s">
        <v>445</v>
      </c>
      <c r="F62" s="3" t="str">
        <f>"https://www.amazon.es/vine/vine-items?queue=encore&amp;pn=" &amp; D62 &amp; IF(E62 = "", "", "&amp;cn=" &amp; E62)</f>
        <v>https://www.amazon.es/vine/vine-items?queue=encore&amp;pn=1951051031&amp;cn=3267975030</v>
      </c>
    </row>
    <row r="63" spans="1:6" x14ac:dyDescent="0.25">
      <c r="A63" s="9" t="s">
        <v>32</v>
      </c>
      <c r="B63" s="3" t="s">
        <v>155</v>
      </c>
      <c r="C63" s="3" t="str">
        <f>A63 &amp; IF(B63="", "", " - " &amp; B63)</f>
        <v>Coche y moto - Productos para aficionados</v>
      </c>
      <c r="D63" s="3" t="s">
        <v>440</v>
      </c>
      <c r="E63" s="3" t="s">
        <v>446</v>
      </c>
      <c r="F63" s="3" t="str">
        <f>"https://www.amazon.es/vine/vine-items?queue=encore&amp;pn=" &amp; D63 &amp; IF(E63 = "", "", "&amp;cn=" &amp; E63)</f>
        <v>https://www.amazon.es/vine/vine-items?queue=encore&amp;pn=1951051031&amp;cn=3268496030</v>
      </c>
    </row>
    <row r="64" spans="1:6" x14ac:dyDescent="0.25">
      <c r="A64" s="9" t="s">
        <v>32</v>
      </c>
      <c r="B64" s="3" t="s">
        <v>156</v>
      </c>
      <c r="C64" s="3" t="str">
        <f>A64 &amp; IF(B64="", "", " - " &amp; B64)</f>
        <v>Coche y moto - Transporte y almacenamiento</v>
      </c>
      <c r="D64" s="3" t="s">
        <v>440</v>
      </c>
      <c r="E64" s="3" t="s">
        <v>447</v>
      </c>
      <c r="F64" s="3" t="str">
        <f>"https://www.amazon.es/vine/vine-items?queue=encore&amp;pn=" &amp; D64 &amp; IF(E64 = "", "", "&amp;cn=" &amp; E64)</f>
        <v>https://www.amazon.es/vine/vine-items?queue=encore&amp;pn=1951051031&amp;cn=3268507030</v>
      </c>
    </row>
    <row r="65" spans="1:6" x14ac:dyDescent="0.25">
      <c r="A65" s="9" t="s">
        <v>32</v>
      </c>
      <c r="B65" s="3" t="s">
        <v>157</v>
      </c>
      <c r="C65" s="3" t="str">
        <f>A65 &amp; IF(B65="", "", " - " &amp; B65)</f>
        <v>Coche y moto - Cuidado de coche y moto</v>
      </c>
      <c r="D65" s="3" t="s">
        <v>440</v>
      </c>
      <c r="E65" s="3" t="s">
        <v>448</v>
      </c>
      <c r="F65" s="3" t="str">
        <f>"https://www.amazon.es/vine/vine-items?queue=encore&amp;pn=" &amp; D65 &amp; IF(E65 = "", "", "&amp;cn=" &amp; E65)</f>
        <v>https://www.amazon.es/vine/vine-items?queue=encore&amp;pn=1951051031&amp;cn=3267905030</v>
      </c>
    </row>
    <row r="66" spans="1:6" x14ac:dyDescent="0.25">
      <c r="A66" s="9" t="s">
        <v>32</v>
      </c>
      <c r="B66" s="3" t="s">
        <v>158</v>
      </c>
      <c r="C66" s="3" t="str">
        <f>A66 &amp; IF(B66="", "", " - " &amp; B66)</f>
        <v>Coche y moto - Piezas y repuestos para caravanas</v>
      </c>
      <c r="D66" s="3" t="s">
        <v>440</v>
      </c>
      <c r="E66" s="3" t="s">
        <v>449</v>
      </c>
      <c r="F66" s="3" t="str">
        <f>"https://www.amazon.es/vine/vine-items?queue=encore&amp;pn=" &amp; D66 &amp; IF(E66 = "", "", "&amp;cn=" &amp; E66)</f>
        <v>https://www.amazon.es/vine/vine-items?queue=encore&amp;pn=1951051031&amp;cn=3268419030</v>
      </c>
    </row>
    <row r="67" spans="1:6" x14ac:dyDescent="0.25">
      <c r="A67" s="9" t="s">
        <v>32</v>
      </c>
      <c r="B67" s="3" t="s">
        <v>32</v>
      </c>
      <c r="C67" s="3" t="str">
        <f>A67 &amp; IF(B67="", "", " - " &amp; B67)</f>
        <v>Coche y moto - Coche y moto</v>
      </c>
      <c r="D67" s="3" t="s">
        <v>440</v>
      </c>
      <c r="E67" s="3" t="s">
        <v>440</v>
      </c>
      <c r="F67" s="3" t="str">
        <f>"https://www.amazon.es/vine/vine-items?queue=encore&amp;pn=" &amp; D67 &amp; IF(E67 = "", "", "&amp;cn=" &amp; E67)</f>
        <v>https://www.amazon.es/vine/vine-items?queue=encore&amp;pn=1951051031&amp;cn=1951051031</v>
      </c>
    </row>
    <row r="68" spans="1:6" x14ac:dyDescent="0.25">
      <c r="A68" s="9" t="s">
        <v>32</v>
      </c>
      <c r="B68" s="3" t="s">
        <v>159</v>
      </c>
      <c r="C68" s="3" t="str">
        <f>A68 &amp; IF(B68="", "", " - " &amp; B68)</f>
        <v>Coche y moto - Piezas y equipo de vehículos agrícolas</v>
      </c>
      <c r="D68" s="3" t="s">
        <v>440</v>
      </c>
      <c r="E68" s="3" t="s">
        <v>450</v>
      </c>
      <c r="F68" s="3" t="str">
        <f>"https://www.amazon.es/vine/vine-items?queue=encore&amp;pn=" &amp; D68 &amp; IF(E68 = "", "", "&amp;cn=" &amp; E68)</f>
        <v>https://www.amazon.es/vine/vine-items?queue=encore&amp;pn=1951051031&amp;cn=17480980030</v>
      </c>
    </row>
    <row r="69" spans="1:6" x14ac:dyDescent="0.25">
      <c r="A69" s="9" t="s">
        <v>33</v>
      </c>
      <c r="B69" s="3"/>
      <c r="C69" s="3" t="str">
        <f>A69 &amp; IF(B69="", "", " - " &amp; B69)</f>
        <v>Moda</v>
      </c>
      <c r="D69" s="3" t="s">
        <v>451</v>
      </c>
      <c r="E69" s="3" t="s">
        <v>388</v>
      </c>
      <c r="F69" s="3" t="str">
        <f>"https://www.amazon.es/vine/vine-items?queue=encore&amp;pn=" &amp; D69 &amp; IF(E69 = "", "", "&amp;cn=" &amp; E69)</f>
        <v>https://www.amazon.es/vine/vine-items?queue=encore&amp;pn=5512276031</v>
      </c>
    </row>
    <row r="70" spans="1:6" x14ac:dyDescent="0.25">
      <c r="A70" s="9" t="s">
        <v>33</v>
      </c>
      <c r="B70" s="3" t="s">
        <v>171</v>
      </c>
      <c r="C70" s="3" t="str">
        <f>A70 &amp; IF(B70="", "", " - " &amp; B70)</f>
        <v>Moda - Equipaje y accesorios de viaje</v>
      </c>
      <c r="D70" s="3" t="s">
        <v>451</v>
      </c>
      <c r="E70" s="3" t="s">
        <v>452</v>
      </c>
      <c r="F70" s="3" t="str">
        <f>"https://www.amazon.es/vine/vine-items?queue=encore&amp;pn=" &amp; D70 &amp; IF(E70 = "", "", "&amp;cn=" &amp; E70)</f>
        <v>https://www.amazon.es/vine/vine-items?queue=encore&amp;pn=5512276031&amp;cn=14230295030</v>
      </c>
    </row>
    <row r="71" spans="1:6" x14ac:dyDescent="0.25">
      <c r="A71" s="9" t="s">
        <v>33</v>
      </c>
      <c r="B71" s="3" t="s">
        <v>172</v>
      </c>
      <c r="C71" s="3" t="str">
        <f>A71 &amp; IF(B71="", "", " - " &amp; B71)</f>
        <v>Moda - Mujer</v>
      </c>
      <c r="D71" s="3" t="s">
        <v>451</v>
      </c>
      <c r="E71" s="3" t="s">
        <v>453</v>
      </c>
      <c r="F71" s="3" t="str">
        <f>"https://www.amazon.es/vine/vine-items?queue=encore&amp;pn=" &amp; D71 &amp; IF(E71 = "", "", "&amp;cn=" &amp; E71)</f>
        <v>https://www.amazon.es/vine/vine-items?queue=encore&amp;pn=5512276031&amp;cn=6493352030</v>
      </c>
    </row>
    <row r="72" spans="1:6" x14ac:dyDescent="0.25">
      <c r="A72" s="9" t="s">
        <v>33</v>
      </c>
      <c r="B72" s="3" t="s">
        <v>173</v>
      </c>
      <c r="C72" s="3" t="str">
        <f>A72 &amp; IF(B72="", "", " - " &amp; B72)</f>
        <v>Moda - Hombre</v>
      </c>
      <c r="D72" s="3" t="s">
        <v>451</v>
      </c>
      <c r="E72" s="3" t="s">
        <v>454</v>
      </c>
      <c r="F72" s="3" t="str">
        <f>"https://www.amazon.es/vine/vine-items?queue=encore&amp;pn=" &amp; D72 &amp; IF(E72 = "", "", "&amp;cn=" &amp; E72)</f>
        <v>https://www.amazon.es/vine/vine-items?queue=encore&amp;pn=5512276031&amp;cn=6493349030</v>
      </c>
    </row>
    <row r="73" spans="1:6" x14ac:dyDescent="0.25">
      <c r="A73" s="9" t="s">
        <v>33</v>
      </c>
      <c r="B73" s="3" t="s">
        <v>174</v>
      </c>
      <c r="C73" s="3" t="str">
        <f>A73 &amp; IF(B73="", "", " - " &amp; B73)</f>
        <v>Moda - Accesorios para calzado, relojes y joyería</v>
      </c>
      <c r="D73" s="3" t="s">
        <v>451</v>
      </c>
      <c r="E73" s="3" t="s">
        <v>455</v>
      </c>
      <c r="F73" s="3" t="str">
        <f>"https://www.amazon.es/vine/vine-items?queue=encore&amp;pn=" &amp; D73 &amp; IF(E73 = "", "", "&amp;cn=" &amp; E73)</f>
        <v>https://www.amazon.es/vine/vine-items?queue=encore&amp;pn=5512276031&amp;cn=13911558030</v>
      </c>
    </row>
    <row r="74" spans="1:6" x14ac:dyDescent="0.25">
      <c r="A74" s="9" t="s">
        <v>33</v>
      </c>
      <c r="B74" s="3" t="s">
        <v>175</v>
      </c>
      <c r="C74" s="3" t="str">
        <f>A74 &amp; IF(B74="", "", " - " &amp; B74)</f>
        <v>Moda - Ropa divertida y de uso especial</v>
      </c>
      <c r="D74" s="3" t="s">
        <v>451</v>
      </c>
      <c r="E74" s="3" t="s">
        <v>456</v>
      </c>
      <c r="F74" s="3" t="str">
        <f>"https://www.amazon.es/vine/vine-items?queue=encore&amp;pn=" &amp; D74 &amp; IF(E74 = "", "", "&amp;cn=" &amp; E74)</f>
        <v>https://www.amazon.es/vine/vine-items?queue=encore&amp;pn=5512276031&amp;cn=3948711030</v>
      </c>
    </row>
    <row r="75" spans="1:6" x14ac:dyDescent="0.25">
      <c r="A75" s="9" t="s">
        <v>33</v>
      </c>
      <c r="B75" s="3" t="s">
        <v>176</v>
      </c>
      <c r="C75" s="3" t="str">
        <f>A75 &amp; IF(B75="", "", " - " &amp; B75)</f>
        <v>Moda - Niña</v>
      </c>
      <c r="D75" s="3" t="s">
        <v>451</v>
      </c>
      <c r="E75" s="3" t="s">
        <v>457</v>
      </c>
      <c r="F75" s="3" t="str">
        <f>"https://www.amazon.es/vine/vine-items?queue=encore&amp;pn=" &amp; D75 &amp; IF(E75 = "", "", "&amp;cn=" &amp; E75)</f>
        <v>https://www.amazon.es/vine/vine-items?queue=encore&amp;pn=5512276031&amp;cn=6495004030</v>
      </c>
    </row>
    <row r="76" spans="1:6" x14ac:dyDescent="0.25">
      <c r="A76" s="9" t="s">
        <v>33</v>
      </c>
      <c r="B76" s="3" t="s">
        <v>177</v>
      </c>
      <c r="C76" s="3" t="str">
        <f>A76 &amp; IF(B76="", "", " - " &amp; B76)</f>
        <v>Moda - Bisutería barata</v>
      </c>
      <c r="D76" s="3" t="s">
        <v>451</v>
      </c>
      <c r="E76" s="3" t="s">
        <v>458</v>
      </c>
      <c r="F76" s="3" t="str">
        <f>"https://www.amazon.es/vine/vine-items?queue=encore&amp;pn=" &amp; D76 &amp; IF(E76 = "", "", "&amp;cn=" &amp; E76)</f>
        <v>https://www.amazon.es/vine/vine-items?queue=encore&amp;pn=5512276031&amp;cn=6866506030</v>
      </c>
    </row>
    <row r="77" spans="1:6" x14ac:dyDescent="0.25">
      <c r="A77" s="9" t="s">
        <v>33</v>
      </c>
      <c r="B77" s="3" t="s">
        <v>178</v>
      </c>
      <c r="C77" s="3" t="str">
        <f>A77 &amp; IF(B77="", "", " - " &amp; B77)</f>
        <v>Moda - Niño</v>
      </c>
      <c r="D77" s="3" t="s">
        <v>451</v>
      </c>
      <c r="E77" s="3" t="s">
        <v>459</v>
      </c>
      <c r="F77" s="3" t="str">
        <f>"https://www.amazon.es/vine/vine-items?queue=encore&amp;pn=" &amp; D77 &amp; IF(E77 = "", "", "&amp;cn=" &amp; E77)</f>
        <v>https://www.amazon.es/vine/vine-items?queue=encore&amp;pn=5512276031&amp;cn=6495007030</v>
      </c>
    </row>
    <row r="78" spans="1:6" x14ac:dyDescent="0.25">
      <c r="A78" s="9" t="s">
        <v>33</v>
      </c>
      <c r="B78" s="3" t="s">
        <v>41</v>
      </c>
      <c r="C78" s="3" t="str">
        <f>A78 &amp; IF(B78="", "", " - " &amp; B78)</f>
        <v>Moda - Bebé</v>
      </c>
      <c r="D78" s="3" t="s">
        <v>451</v>
      </c>
      <c r="E78" s="3" t="s">
        <v>460</v>
      </c>
      <c r="F78" s="3" t="str">
        <f>"https://www.amazon.es/vine/vine-items?queue=encore&amp;pn=" &amp; D78 &amp; IF(E78 = "", "", "&amp;cn=" &amp; E78)</f>
        <v>https://www.amazon.es/vine/vine-items?queue=encore&amp;pn=5512276031&amp;cn=6495010030</v>
      </c>
    </row>
    <row r="79" spans="1:6" x14ac:dyDescent="0.25">
      <c r="A79" s="9" t="s">
        <v>33</v>
      </c>
      <c r="B79" s="3" t="s">
        <v>179</v>
      </c>
      <c r="C79" s="3" t="str">
        <f>A79 &amp; IF(B79="", "", " - " &amp; B79)</f>
        <v>Moda - Ropa específica deportiva</v>
      </c>
      <c r="D79" s="3" t="s">
        <v>451</v>
      </c>
      <c r="E79" s="3" t="s">
        <v>461</v>
      </c>
      <c r="F79" s="3" t="str">
        <f>"https://www.amazon.es/vine/vine-items?queue=encore&amp;pn=" &amp; D79 &amp; IF(E79 = "", "", "&amp;cn=" &amp; E79)</f>
        <v>https://www.amazon.es/vine/vine-items?queue=encore&amp;pn=5512276031&amp;cn=30169515030</v>
      </c>
    </row>
    <row r="80" spans="1:6" x14ac:dyDescent="0.25">
      <c r="A80" s="9" t="s">
        <v>34</v>
      </c>
      <c r="B80" s="3"/>
      <c r="C80" s="3" t="str">
        <f>A80 &amp; IF(B80="", "", " - " &amp; B80)</f>
        <v>Deportes y aire libre</v>
      </c>
      <c r="D80" s="3" t="s">
        <v>462</v>
      </c>
      <c r="E80" s="3" t="s">
        <v>388</v>
      </c>
      <c r="F80" s="3" t="str">
        <f>"https://www.amazon.es/vine/vine-items?queue=encore&amp;pn=" &amp; D80 &amp; IF(E80 = "", "", "&amp;cn=" &amp; E80)</f>
        <v>https://www.amazon.es/vine/vine-items?queue=encore&amp;pn=2454136031</v>
      </c>
    </row>
    <row r="81" spans="1:6" x14ac:dyDescent="0.25">
      <c r="A81" s="9"/>
      <c r="B81" s="3" t="s">
        <v>282</v>
      </c>
      <c r="C81" s="3" t="str">
        <f t="shared" ref="C81:C130" si="0">A81 &amp; IF(B81="", "", " - " &amp; B81)</f>
        <v xml:space="preserve"> - Deportes</v>
      </c>
      <c r="D81" s="3" t="s">
        <v>462</v>
      </c>
      <c r="E81" s="3" t="s">
        <v>463</v>
      </c>
      <c r="F81" s="3" t="str">
        <f t="shared" ref="F81:F97" si="1">"https://www.amazon.es/vine/vine-items?queue=encore&amp;pn=" &amp; D81 &amp; IF(E81 = "", "", "&amp;cn=" &amp; E81)</f>
        <v>https://www.amazon.es/vine/vine-items?queue=encore&amp;pn=2454136031&amp;cn=29102967030</v>
      </c>
    </row>
    <row r="82" spans="1:6" x14ac:dyDescent="0.25">
      <c r="A82" s="9"/>
      <c r="B82" s="3" t="s">
        <v>283</v>
      </c>
      <c r="C82" s="3" t="str">
        <f t="shared" si="0"/>
        <v xml:space="preserve"> - Electrónica y dispositivos</v>
      </c>
      <c r="D82" s="3" t="s">
        <v>462</v>
      </c>
      <c r="E82" s="3" t="s">
        <v>464</v>
      </c>
      <c r="F82" s="3" t="str">
        <f t="shared" si="1"/>
        <v>https://www.amazon.es/vine/vine-items?queue=encore&amp;pn=2454136031&amp;cn=3794299030</v>
      </c>
    </row>
    <row r="83" spans="1:6" x14ac:dyDescent="0.25">
      <c r="A83" s="9"/>
      <c r="B83" s="3" t="s">
        <v>284</v>
      </c>
      <c r="C83" s="3" t="str">
        <f t="shared" si="0"/>
        <v xml:space="preserve"> - Ocio al aire libre</v>
      </c>
      <c r="D83" s="3" t="s">
        <v>462</v>
      </c>
      <c r="E83" s="3" t="s">
        <v>465</v>
      </c>
      <c r="F83" s="3" t="str">
        <f t="shared" si="1"/>
        <v>https://www.amazon.es/vine/vine-items?queue=encore&amp;pn=2454136031&amp;cn=29102966030</v>
      </c>
    </row>
    <row r="84" spans="1:6" x14ac:dyDescent="0.25">
      <c r="A84" s="9"/>
      <c r="B84" s="3" t="s">
        <v>285</v>
      </c>
      <c r="C84" s="3" t="str">
        <f t="shared" si="0"/>
        <v xml:space="preserve"> - Fitness y ejercicio</v>
      </c>
      <c r="D84" s="3" t="s">
        <v>462</v>
      </c>
      <c r="E84" s="3" t="s">
        <v>466</v>
      </c>
      <c r="F84" s="3" t="str">
        <f t="shared" si="1"/>
        <v>https://www.amazon.es/vine/vine-items?queue=encore&amp;pn=2454136031&amp;cn=3794298030</v>
      </c>
    </row>
    <row r="85" spans="1:6" x14ac:dyDescent="0.25">
      <c r="A85" s="9"/>
      <c r="B85" s="3" t="s">
        <v>286</v>
      </c>
      <c r="C85" s="3" t="str">
        <f t="shared" si="0"/>
        <v xml:space="preserve"> - Caza y pesca</v>
      </c>
      <c r="D85" s="3" t="s">
        <v>462</v>
      </c>
      <c r="E85" s="3" t="s">
        <v>467</v>
      </c>
      <c r="F85" s="3" t="str">
        <f t="shared" si="1"/>
        <v>https://www.amazon.es/vine/vine-items?queue=encore&amp;pn=2454136031&amp;cn=29102965030</v>
      </c>
    </row>
    <row r="86" spans="1:6" x14ac:dyDescent="0.25">
      <c r="A86" s="9"/>
      <c r="B86" s="3" t="s">
        <v>287</v>
      </c>
      <c r="C86" s="3" t="str">
        <f t="shared" si="0"/>
        <v xml:space="preserve"> - Productos para fans</v>
      </c>
      <c r="D86" s="3" t="s">
        <v>462</v>
      </c>
      <c r="E86" s="3" t="s">
        <v>468</v>
      </c>
      <c r="F86" s="3" t="str">
        <f t="shared" si="1"/>
        <v>https://www.amazon.es/vine/vine-items?queue=encore&amp;pn=2454136031&amp;cn=3794320030</v>
      </c>
    </row>
    <row r="87" spans="1:6" x14ac:dyDescent="0.25">
      <c r="A87" s="9"/>
      <c r="B87" s="3" t="s">
        <v>288</v>
      </c>
      <c r="C87" s="3" t="str">
        <f t="shared" si="0"/>
        <v xml:space="preserve"> - Accesorios para deportes y ocio al aire libre</v>
      </c>
      <c r="D87" s="3" t="s">
        <v>462</v>
      </c>
      <c r="E87" s="3" t="s">
        <v>469</v>
      </c>
      <c r="F87" s="3" t="str">
        <f t="shared" si="1"/>
        <v>https://www.amazon.es/vine/vine-items?queue=encore&amp;pn=2454136031&amp;cn=29102968030</v>
      </c>
    </row>
    <row r="88" spans="1:6" x14ac:dyDescent="0.25">
      <c r="A88" s="9"/>
      <c r="B88" s="3" t="s">
        <v>289</v>
      </c>
      <c r="C88" s="3" t="str">
        <f t="shared" si="0"/>
        <v xml:space="preserve"> - Ropa deportiva</v>
      </c>
      <c r="D88" s="3" t="s">
        <v>462</v>
      </c>
      <c r="E88" s="3" t="s">
        <v>470</v>
      </c>
      <c r="F88" s="3" t="str">
        <f t="shared" si="1"/>
        <v>https://www.amazon.es/vine/vine-items?queue=encore&amp;pn=2454136031&amp;cn=3794324030</v>
      </c>
    </row>
    <row r="89" spans="1:6" x14ac:dyDescent="0.25">
      <c r="A89" s="9"/>
      <c r="B89" s="3" t="s">
        <v>34</v>
      </c>
      <c r="C89" s="3" t="str">
        <f t="shared" si="0"/>
        <v xml:space="preserve"> - Deportes y aire libre</v>
      </c>
      <c r="D89" s="3" t="s">
        <v>462</v>
      </c>
      <c r="E89" s="3" t="s">
        <v>462</v>
      </c>
      <c r="F89" s="3" t="str">
        <f t="shared" si="1"/>
        <v>https://www.amazon.es/vine/vine-items?queue=encore&amp;pn=2454136031&amp;cn=2454136031</v>
      </c>
    </row>
    <row r="90" spans="1:6" x14ac:dyDescent="0.25">
      <c r="A90" s="9" t="s">
        <v>35</v>
      </c>
      <c r="B90" s="3"/>
      <c r="C90" s="3" t="str">
        <f t="shared" si="0"/>
        <v>Industria, empresas y ciencia</v>
      </c>
      <c r="D90" s="3" t="s">
        <v>471</v>
      </c>
      <c r="E90" s="3" t="s">
        <v>388</v>
      </c>
      <c r="F90" s="3" t="str">
        <f t="shared" si="1"/>
        <v>https://www.amazon.es/vine/vine-items?queue=encore&amp;pn=5866088031</v>
      </c>
    </row>
    <row r="91" spans="1:6" x14ac:dyDescent="0.25">
      <c r="A91" s="9"/>
      <c r="B91" s="3" t="s">
        <v>290</v>
      </c>
      <c r="C91" s="3" t="str">
        <f t="shared" si="0"/>
        <v xml:space="preserve"> - Hidráulica, neumática y fontanería</v>
      </c>
      <c r="D91" s="3" t="s">
        <v>471</v>
      </c>
      <c r="E91" s="3" t="s">
        <v>472</v>
      </c>
      <c r="F91" s="3" t="str">
        <f t="shared" si="1"/>
        <v>https://www.amazon.es/vine/vine-items?queue=encore&amp;pn=5866088031&amp;cn=7309795030</v>
      </c>
    </row>
    <row r="92" spans="1:6" x14ac:dyDescent="0.25">
      <c r="A92" s="9"/>
      <c r="B92" s="3" t="s">
        <v>291</v>
      </c>
      <c r="C92" s="3" t="str">
        <f t="shared" si="0"/>
        <v xml:space="preserve"> - Energía solar y eólica</v>
      </c>
      <c r="D92" s="3" t="s">
        <v>471</v>
      </c>
      <c r="E92" s="3" t="s">
        <v>473</v>
      </c>
      <c r="F92" s="3" t="str">
        <f t="shared" si="1"/>
        <v>https://www.amazon.es/vine/vine-items?queue=encore&amp;pn=5866088031&amp;cn=16626319030</v>
      </c>
    </row>
    <row r="93" spans="1:6" x14ac:dyDescent="0.25">
      <c r="A93" s="9"/>
      <c r="B93" s="3" t="s">
        <v>292</v>
      </c>
      <c r="C93" s="3" t="str">
        <f t="shared" si="0"/>
        <v xml:space="preserve"> - Eléctrica industrial</v>
      </c>
      <c r="D93" s="3" t="s">
        <v>471</v>
      </c>
      <c r="E93" s="3" t="s">
        <v>474</v>
      </c>
      <c r="F93" s="3" t="str">
        <f t="shared" si="1"/>
        <v>https://www.amazon.es/vine/vine-items?queue=encore&amp;pn=5866088031&amp;cn=11607087030</v>
      </c>
    </row>
    <row r="94" spans="1:6" x14ac:dyDescent="0.25">
      <c r="A94" s="9"/>
      <c r="B94" s="3" t="s">
        <v>293</v>
      </c>
      <c r="C94" s="3" t="str">
        <f t="shared" si="0"/>
        <v xml:space="preserve"> - Artículos y equipo de servicio para la restauración</v>
      </c>
      <c r="D94" s="3" t="s">
        <v>471</v>
      </c>
      <c r="E94" s="3" t="s">
        <v>475</v>
      </c>
      <c r="F94" s="3" t="str">
        <f t="shared" si="1"/>
        <v>https://www.amazon.es/vine/vine-items?queue=encore&amp;pn=5866088031&amp;cn=11606829030</v>
      </c>
    </row>
    <row r="95" spans="1:6" x14ac:dyDescent="0.25">
      <c r="A95" s="9"/>
      <c r="B95" s="3" t="s">
        <v>294</v>
      </c>
      <c r="C95" s="3" t="str">
        <f t="shared" si="0"/>
        <v xml:space="preserve"> - Test y medición</v>
      </c>
      <c r="D95" s="3" t="s">
        <v>471</v>
      </c>
      <c r="E95" s="3" t="s">
        <v>476</v>
      </c>
      <c r="F95" s="3" t="str">
        <f t="shared" si="1"/>
        <v>https://www.amazon.es/vine/vine-items?queue=encore&amp;pn=5866088031&amp;cn=7695796030</v>
      </c>
    </row>
    <row r="96" spans="1:6" x14ac:dyDescent="0.25">
      <c r="A96" s="9"/>
      <c r="B96" s="3" t="s">
        <v>295</v>
      </c>
      <c r="C96" s="3" t="str">
        <f t="shared" si="0"/>
        <v xml:space="preserve"> - Equipos y suministros agrícolas</v>
      </c>
      <c r="D96" s="3" t="s">
        <v>471</v>
      </c>
      <c r="E96" s="3" t="s">
        <v>477</v>
      </c>
      <c r="F96" s="3" t="str">
        <f t="shared" si="1"/>
        <v>https://www.amazon.es/vine/vine-items?queue=encore&amp;pn=5866088031&amp;cn=17860901030</v>
      </c>
    </row>
    <row r="97" spans="1:6" x14ac:dyDescent="0.25">
      <c r="A97" s="9"/>
      <c r="B97" s="3" t="s">
        <v>296</v>
      </c>
      <c r="C97" s="3" t="str">
        <f t="shared" si="0"/>
        <v xml:space="preserve"> - Impresión y escaneo 3D</v>
      </c>
      <c r="D97" s="3" t="s">
        <v>471</v>
      </c>
      <c r="E97" s="3" t="s">
        <v>478</v>
      </c>
      <c r="F97" s="3" t="str">
        <f t="shared" si="1"/>
        <v>https://www.amazon.es/vine/vine-items?queue=encore&amp;pn=5866088031&amp;cn=7695797030</v>
      </c>
    </row>
    <row r="98" spans="1:6" x14ac:dyDescent="0.25">
      <c r="A98" s="9"/>
      <c r="B98" s="3" t="s">
        <v>297</v>
      </c>
      <c r="C98" s="3" t="str">
        <f t="shared" si="0"/>
        <v xml:space="preserve"> - Productos de laboratorio y ciencias</v>
      </c>
      <c r="D98" s="3" t="s">
        <v>471</v>
      </c>
      <c r="E98" s="3" t="s">
        <v>479</v>
      </c>
      <c r="F98" s="3" t="str">
        <f t="shared" ref="F98:F129" si="2">"https://www.amazon.es/vine/vine-items?queue=encore&amp;pn=" &amp; D98 &amp; IF(E98 = "", "", "&amp;cn=" &amp; E98)</f>
        <v>https://www.amazon.es/vine/vine-items?queue=encore&amp;pn=5866088031&amp;cn=7695798030</v>
      </c>
    </row>
    <row r="99" spans="1:6" x14ac:dyDescent="0.25">
      <c r="A99" s="9"/>
      <c r="B99" s="3" t="s">
        <v>298</v>
      </c>
      <c r="C99" s="3" t="str">
        <f t="shared" si="0"/>
        <v xml:space="preserve"> - Suministros de limpieza y saneamiento</v>
      </c>
      <c r="D99" s="3" t="s">
        <v>471</v>
      </c>
      <c r="E99" s="3" t="s">
        <v>480</v>
      </c>
      <c r="F99" s="3" t="str">
        <f t="shared" si="2"/>
        <v>https://www.amazon.es/vine/vine-items?queue=encore&amp;pn=5866088031&amp;cn=7695800030</v>
      </c>
    </row>
    <row r="100" spans="1:6" x14ac:dyDescent="0.25">
      <c r="A100" s="9"/>
      <c r="B100" s="3" t="s">
        <v>299</v>
      </c>
      <c r="C100" s="3" t="str">
        <f t="shared" si="0"/>
        <v xml:space="preserve"> - Productos de transmisión de energía</v>
      </c>
      <c r="D100" s="3" t="s">
        <v>471</v>
      </c>
      <c r="E100" s="3" t="s">
        <v>481</v>
      </c>
      <c r="F100" s="3" t="str">
        <f t="shared" si="2"/>
        <v>https://www.amazon.es/vine/vine-items?queue=encore&amp;pn=5866088031&amp;cn=7309800030</v>
      </c>
    </row>
    <row r="101" spans="1:6" x14ac:dyDescent="0.25">
      <c r="A101" s="9"/>
      <c r="B101" s="3" t="s">
        <v>300</v>
      </c>
      <c r="C101" s="3" t="str">
        <f t="shared" si="0"/>
        <v xml:space="preserve"> - Manutención</v>
      </c>
      <c r="D101" s="3" t="s">
        <v>471</v>
      </c>
      <c r="E101" s="3" t="s">
        <v>482</v>
      </c>
      <c r="F101" s="3" t="str">
        <f t="shared" si="2"/>
        <v>https://www.amazon.es/vine/vine-items?queue=encore&amp;pn=5866088031&amp;cn=7309798030</v>
      </c>
    </row>
    <row r="102" spans="1:6" x14ac:dyDescent="0.25">
      <c r="A102" s="9"/>
      <c r="B102" s="3" t="s">
        <v>301</v>
      </c>
      <c r="C102" s="3" t="str">
        <f t="shared" si="0"/>
        <v xml:space="preserve"> - Materias primas</v>
      </c>
      <c r="D102" s="3" t="s">
        <v>471</v>
      </c>
      <c r="E102" s="3" t="s">
        <v>483</v>
      </c>
      <c r="F102" s="3" t="str">
        <f t="shared" si="2"/>
        <v>https://www.amazon.es/vine/vine-items?queue=encore&amp;pn=5866088031&amp;cn=7309802030</v>
      </c>
    </row>
    <row r="103" spans="1:6" x14ac:dyDescent="0.25">
      <c r="A103" s="9"/>
      <c r="B103" s="3" t="s">
        <v>35</v>
      </c>
      <c r="C103" s="3" t="str">
        <f t="shared" si="0"/>
        <v xml:space="preserve"> - Industria, empresas y ciencia</v>
      </c>
      <c r="D103" s="3" t="s">
        <v>471</v>
      </c>
      <c r="E103" s="3" t="s">
        <v>471</v>
      </c>
      <c r="F103" s="3" t="str">
        <f t="shared" si="2"/>
        <v>https://www.amazon.es/vine/vine-items?queue=encore&amp;pn=5866088031&amp;cn=5866088031</v>
      </c>
    </row>
    <row r="104" spans="1:6" x14ac:dyDescent="0.25">
      <c r="A104" s="9"/>
      <c r="B104" s="3" t="s">
        <v>302</v>
      </c>
      <c r="C104" s="3" t="str">
        <f t="shared" si="0"/>
        <v xml:space="preserve"> - Suministros de empaquetado y envío</v>
      </c>
      <c r="D104" s="3" t="s">
        <v>471</v>
      </c>
      <c r="E104" s="3" t="s">
        <v>484</v>
      </c>
      <c r="F104" s="3" t="str">
        <f t="shared" si="2"/>
        <v>https://www.amazon.es/vine/vine-items?queue=encore&amp;pn=5866088031&amp;cn=7309799030</v>
      </c>
    </row>
    <row r="105" spans="1:6" x14ac:dyDescent="0.25">
      <c r="A105" s="9"/>
      <c r="B105" s="3" t="s">
        <v>303</v>
      </c>
      <c r="C105" s="3" t="str">
        <f t="shared" si="0"/>
        <v xml:space="preserve"> - Productos abrasivos y de acabado</v>
      </c>
      <c r="D105" s="3" t="s">
        <v>471</v>
      </c>
      <c r="E105" s="3" t="s">
        <v>485</v>
      </c>
      <c r="F105" s="3" t="str">
        <f t="shared" si="2"/>
        <v>https://www.amazon.es/vine/vine-items?queue=encore&amp;pn=5866088031&amp;cn=7309790030</v>
      </c>
    </row>
    <row r="106" spans="1:6" x14ac:dyDescent="0.25">
      <c r="A106" s="9"/>
      <c r="B106" s="3" t="s">
        <v>304</v>
      </c>
      <c r="C106" s="3" t="str">
        <f t="shared" si="0"/>
        <v xml:space="preserve"> - Herramientas eléctricas y de mano</v>
      </c>
      <c r="D106" s="3" t="s">
        <v>471</v>
      </c>
      <c r="E106" s="3" t="s">
        <v>486</v>
      </c>
      <c r="F106" s="3" t="str">
        <f t="shared" si="2"/>
        <v>https://www.amazon.es/vine/vine-items?queue=encore&amp;pn=5866088031&amp;cn=7695795030</v>
      </c>
    </row>
    <row r="107" spans="1:6" x14ac:dyDescent="0.25">
      <c r="A107" s="9"/>
      <c r="B107" s="3" t="s">
        <v>305</v>
      </c>
      <c r="C107" s="3" t="str">
        <f t="shared" si="0"/>
        <v xml:space="preserve"> - Salud ocupacional y productos de seguridad</v>
      </c>
      <c r="D107" s="3" t="s">
        <v>471</v>
      </c>
      <c r="E107" s="3" t="s">
        <v>487</v>
      </c>
      <c r="F107" s="3" t="str">
        <f t="shared" si="2"/>
        <v>https://www.amazon.es/vine/vine-items?queue=encore&amp;pn=5866088031&amp;cn=7695799030</v>
      </c>
    </row>
    <row r="108" spans="1:6" x14ac:dyDescent="0.25">
      <c r="A108" s="9"/>
      <c r="B108" s="3" t="s">
        <v>306</v>
      </c>
      <c r="C108" s="3" t="str">
        <f t="shared" si="0"/>
        <v xml:space="preserve"> - Suministros médicos profesionales</v>
      </c>
      <c r="D108" s="3" t="s">
        <v>471</v>
      </c>
      <c r="E108" s="3" t="s">
        <v>488</v>
      </c>
      <c r="F108" s="3" t="str">
        <f t="shared" si="2"/>
        <v>https://www.amazon.es/vine/vine-items?queue=encore&amp;pn=5866088031&amp;cn=7695801030</v>
      </c>
    </row>
    <row r="109" spans="1:6" x14ac:dyDescent="0.25">
      <c r="A109" s="9" t="s">
        <v>36</v>
      </c>
      <c r="B109" s="3"/>
      <c r="C109" s="3" t="str">
        <f t="shared" si="0"/>
        <v>Jardín</v>
      </c>
      <c r="D109" s="3" t="s">
        <v>489</v>
      </c>
      <c r="E109" s="3" t="s">
        <v>388</v>
      </c>
      <c r="F109" s="3" t="str">
        <f t="shared" si="2"/>
        <v>https://www.amazon.es/vine/vine-items?queue=encore&amp;pn=1571259031</v>
      </c>
    </row>
    <row r="110" spans="1:6" x14ac:dyDescent="0.25">
      <c r="A110" s="9"/>
      <c r="B110" s="3" t="s">
        <v>307</v>
      </c>
      <c r="C110" s="3" t="str">
        <f t="shared" si="0"/>
        <v xml:space="preserve"> - Cortacéspedes y herramientas eléctricas para exteriores</v>
      </c>
      <c r="D110" s="3" t="s">
        <v>489</v>
      </c>
      <c r="E110" s="3" t="s">
        <v>490</v>
      </c>
      <c r="F110" s="3" t="str">
        <f t="shared" si="2"/>
        <v>https://www.amazon.es/vine/vine-items?queue=encore&amp;pn=1571259031&amp;cn=6933299030</v>
      </c>
    </row>
    <row r="111" spans="1:6" x14ac:dyDescent="0.25">
      <c r="A111" s="9"/>
      <c r="B111" s="3" t="s">
        <v>308</v>
      </c>
      <c r="C111" s="3" t="str">
        <f t="shared" si="0"/>
        <v xml:space="preserve"> - Jardinería</v>
      </c>
      <c r="D111" s="3" t="s">
        <v>489</v>
      </c>
      <c r="E111" s="3" t="s">
        <v>491</v>
      </c>
      <c r="F111" s="3" t="str">
        <f t="shared" si="2"/>
        <v>https://www.amazon.es/vine/vine-items?queue=encore&amp;pn=1571259031&amp;cn=6933545030</v>
      </c>
    </row>
    <row r="112" spans="1:6" x14ac:dyDescent="0.25">
      <c r="A112" s="9"/>
      <c r="B112" s="3" t="s">
        <v>309</v>
      </c>
      <c r="C112" s="3" t="str">
        <f t="shared" si="0"/>
        <v xml:space="preserve"> - Piscinas, bañeras de hidromasaje y suministros</v>
      </c>
      <c r="D112" s="3" t="s">
        <v>489</v>
      </c>
      <c r="E112" s="3" t="s">
        <v>492</v>
      </c>
      <c r="F112" s="3" t="str">
        <f t="shared" si="2"/>
        <v>https://www.amazon.es/vine/vine-items?queue=encore&amp;pn=1571259031&amp;cn=6933839030</v>
      </c>
    </row>
    <row r="113" spans="1:6" x14ac:dyDescent="0.25">
      <c r="A113" s="9"/>
      <c r="B113" s="3" t="s">
        <v>310</v>
      </c>
      <c r="C113" s="3" t="str">
        <f t="shared" si="0"/>
        <v xml:space="preserve"> - Barbacoa y comedor al aire libre</v>
      </c>
      <c r="D113" s="3" t="s">
        <v>489</v>
      </c>
      <c r="E113" s="3" t="s">
        <v>493</v>
      </c>
      <c r="F113" s="3" t="str">
        <f t="shared" si="2"/>
        <v>https://www.amazon.es/vine/vine-items?queue=encore&amp;pn=1571259031&amp;cn=6933219030</v>
      </c>
    </row>
    <row r="114" spans="1:6" x14ac:dyDescent="0.25">
      <c r="A114" s="9"/>
      <c r="B114" s="3" t="s">
        <v>311</v>
      </c>
      <c r="C114" s="3" t="str">
        <f t="shared" si="0"/>
        <v xml:space="preserve"> - Decoración de exterior</v>
      </c>
      <c r="D114" s="3" t="s">
        <v>489</v>
      </c>
      <c r="E114" s="3" t="s">
        <v>494</v>
      </c>
      <c r="F114" s="3" t="str">
        <f t="shared" si="2"/>
        <v>https://www.amazon.es/vine/vine-items?queue=encore&amp;pn=1571259031&amp;cn=6933479030</v>
      </c>
    </row>
    <row r="115" spans="1:6" x14ac:dyDescent="0.25">
      <c r="A115" s="9"/>
      <c r="B115" s="3" t="s">
        <v>312</v>
      </c>
      <c r="C115" s="3" t="str">
        <f t="shared" si="0"/>
        <v xml:space="preserve"> - Muebles y accesorios de jardín</v>
      </c>
      <c r="D115" s="3" t="s">
        <v>489</v>
      </c>
      <c r="E115" s="3" t="s">
        <v>495</v>
      </c>
      <c r="F115" s="3" t="str">
        <f t="shared" si="2"/>
        <v>https://www.amazon.es/vine/vine-items?queue=encore&amp;pn=1571259031&amp;cn=6933766030</v>
      </c>
    </row>
    <row r="116" spans="1:6" x14ac:dyDescent="0.25">
      <c r="A116" s="9"/>
      <c r="B116" s="3" t="s">
        <v>313</v>
      </c>
      <c r="C116" s="3" t="str">
        <f t="shared" si="0"/>
        <v xml:space="preserve"> - Herramientas de jardinería y equipos de riego</v>
      </c>
      <c r="D116" s="3" t="s">
        <v>489</v>
      </c>
      <c r="E116" s="3" t="s">
        <v>496</v>
      </c>
      <c r="F116" s="3" t="str">
        <f t="shared" si="2"/>
        <v>https://www.amazon.es/vine/vine-items?queue=encore&amp;pn=1571259031&amp;cn=29481163030</v>
      </c>
    </row>
    <row r="117" spans="1:6" x14ac:dyDescent="0.25">
      <c r="A117" s="9"/>
      <c r="B117" s="3" t="s">
        <v>314</v>
      </c>
      <c r="C117" s="3" t="str">
        <f t="shared" si="0"/>
        <v xml:space="preserve"> - Aves y animales de jardín</v>
      </c>
      <c r="D117" s="3" t="s">
        <v>489</v>
      </c>
      <c r="E117" s="3" t="s">
        <v>497</v>
      </c>
      <c r="F117" s="3" t="str">
        <f t="shared" si="2"/>
        <v>https://www.amazon.es/vine/vine-items?queue=encore&amp;pn=1571259031&amp;cn=6933193030</v>
      </c>
    </row>
    <row r="118" spans="1:6" x14ac:dyDescent="0.25">
      <c r="A118" s="9"/>
      <c r="B118" s="3" t="s">
        <v>315</v>
      </c>
      <c r="C118" s="3" t="str">
        <f t="shared" si="0"/>
        <v xml:space="preserve"> - Cubiertas y vallas</v>
      </c>
      <c r="D118" s="3" t="s">
        <v>489</v>
      </c>
      <c r="E118" s="3" t="s">
        <v>498</v>
      </c>
      <c r="F118" s="3" t="str">
        <f t="shared" si="2"/>
        <v>https://www.amazon.es/vine/vine-items?queue=encore&amp;pn=1571259031&amp;cn=6933953030</v>
      </c>
    </row>
    <row r="119" spans="1:6" x14ac:dyDescent="0.25">
      <c r="A119" s="9" t="s">
        <v>37</v>
      </c>
      <c r="B119" s="3"/>
      <c r="C119" s="3" t="str">
        <f t="shared" si="0"/>
        <v>Juguetes y juegos</v>
      </c>
      <c r="D119" s="3" t="s">
        <v>499</v>
      </c>
      <c r="E119" s="3" t="s">
        <v>388</v>
      </c>
      <c r="F119" s="3" t="str">
        <f t="shared" si="2"/>
        <v>https://www.amazon.es/vine/vine-items?queue=encore&amp;pn=599385031</v>
      </c>
    </row>
    <row r="120" spans="1:6" x14ac:dyDescent="0.25">
      <c r="A120" s="9"/>
      <c r="B120" s="3" t="s">
        <v>316</v>
      </c>
      <c r="C120" s="3" t="str">
        <f t="shared" si="0"/>
        <v xml:space="preserve"> - Juegos de imitación</v>
      </c>
      <c r="D120" s="3" t="s">
        <v>499</v>
      </c>
      <c r="E120" s="3" t="s">
        <v>500</v>
      </c>
      <c r="F120" s="3" t="str">
        <f t="shared" si="2"/>
        <v>https://www.amazon.es/vine/vine-items?queue=encore&amp;pn=599385031&amp;cn=2407076030</v>
      </c>
    </row>
    <row r="121" spans="1:6" x14ac:dyDescent="0.25">
      <c r="A121" s="9"/>
      <c r="B121" s="3" t="s">
        <v>317</v>
      </c>
      <c r="C121" s="3" t="str">
        <f t="shared" si="0"/>
        <v xml:space="preserve"> - Actividades creativas</v>
      </c>
      <c r="D121" s="3" t="s">
        <v>499</v>
      </c>
      <c r="E121" s="3" t="s">
        <v>501</v>
      </c>
      <c r="F121" s="3" t="str">
        <f t="shared" si="2"/>
        <v>https://www.amazon.es/vine/vine-items?queue=encore&amp;pn=599385031&amp;cn=2406884030</v>
      </c>
    </row>
    <row r="122" spans="1:6" x14ac:dyDescent="0.25">
      <c r="A122" s="9"/>
      <c r="B122" s="3" t="s">
        <v>318</v>
      </c>
      <c r="C122" s="3" t="str">
        <f t="shared" si="0"/>
        <v xml:space="preserve"> - Radiocontrol</v>
      </c>
      <c r="D122" s="3" t="s">
        <v>499</v>
      </c>
      <c r="E122" s="3" t="s">
        <v>502</v>
      </c>
      <c r="F122" s="3" t="str">
        <f t="shared" si="2"/>
        <v>https://www.amazon.es/vine/vine-items?queue=encore&amp;pn=599385031&amp;cn=2407291030</v>
      </c>
    </row>
    <row r="123" spans="1:6" x14ac:dyDescent="0.25">
      <c r="A123" s="9"/>
      <c r="B123" s="3" t="s">
        <v>319</v>
      </c>
      <c r="C123" s="3" t="str">
        <f t="shared" si="0"/>
        <v xml:space="preserve"> - Bebés y primera infancia</v>
      </c>
      <c r="D123" s="3" t="s">
        <v>499</v>
      </c>
      <c r="E123" s="3" t="s">
        <v>503</v>
      </c>
      <c r="F123" s="3" t="str">
        <f t="shared" si="2"/>
        <v>https://www.amazon.es/vine/vine-items?queue=encore&amp;pn=599385031&amp;cn=2407258030</v>
      </c>
    </row>
    <row r="124" spans="1:6" x14ac:dyDescent="0.25">
      <c r="A124" s="9"/>
      <c r="B124" s="3" t="s">
        <v>320</v>
      </c>
      <c r="C124" s="3" t="str">
        <f t="shared" si="0"/>
        <v xml:space="preserve"> - Aire libre y deportes</v>
      </c>
      <c r="D124" s="3" t="s">
        <v>499</v>
      </c>
      <c r="E124" s="3" t="s">
        <v>504</v>
      </c>
      <c r="F124" s="3" t="str">
        <f t="shared" si="2"/>
        <v>https://www.amazon.es/vine/vine-items?queue=encore&amp;pn=599385031&amp;cn=2406927030</v>
      </c>
    </row>
    <row r="125" spans="1:6" x14ac:dyDescent="0.25">
      <c r="A125" s="9"/>
      <c r="B125" s="3" t="s">
        <v>321</v>
      </c>
      <c r="C125" s="3" t="str">
        <f t="shared" si="0"/>
        <v xml:space="preserve"> - Regalos originales y de broma</v>
      </c>
      <c r="D125" s="3" t="s">
        <v>499</v>
      </c>
      <c r="E125" s="3" t="s">
        <v>505</v>
      </c>
      <c r="F125" s="3" t="str">
        <f t="shared" si="2"/>
        <v>https://www.amazon.es/vine/vine-items?queue=encore&amp;pn=599385031&amp;cn=2406990030</v>
      </c>
    </row>
    <row r="126" spans="1:6" x14ac:dyDescent="0.25">
      <c r="A126" s="9"/>
      <c r="B126" s="3" t="s">
        <v>322</v>
      </c>
      <c r="C126" s="3" t="str">
        <f t="shared" si="0"/>
        <v xml:space="preserve"> - Coleccionables</v>
      </c>
      <c r="D126" s="3" t="s">
        <v>499</v>
      </c>
      <c r="E126" s="3" t="s">
        <v>506</v>
      </c>
      <c r="F126" s="3" t="str">
        <f t="shared" si="2"/>
        <v>https://www.amazon.es/vine/vine-items?queue=encore&amp;pn=599385031&amp;cn=2407026030</v>
      </c>
    </row>
    <row r="127" spans="1:6" x14ac:dyDescent="0.25">
      <c r="A127" s="9"/>
      <c r="B127" s="3" t="s">
        <v>323</v>
      </c>
      <c r="C127" s="3" t="str">
        <f t="shared" si="0"/>
        <v xml:space="preserve"> - Muñecas y accesorios</v>
      </c>
      <c r="D127" s="3" t="s">
        <v>499</v>
      </c>
      <c r="E127" s="3" t="s">
        <v>507</v>
      </c>
      <c r="F127" s="3" t="str">
        <f t="shared" si="2"/>
        <v>https://www.amazon.es/vine/vine-items?queue=encore&amp;pn=599385031&amp;cn=2407232030</v>
      </c>
    </row>
    <row r="128" spans="1:6" x14ac:dyDescent="0.25">
      <c r="A128" s="9"/>
      <c r="B128" s="3" t="s">
        <v>324</v>
      </c>
      <c r="C128" s="3" t="str">
        <f t="shared" si="0"/>
        <v xml:space="preserve"> - Puzzles y rompecabezas</v>
      </c>
      <c r="D128" s="3" t="s">
        <v>499</v>
      </c>
      <c r="E128" s="3" t="s">
        <v>508</v>
      </c>
      <c r="F128" s="3" t="str">
        <f t="shared" si="2"/>
        <v>https://www.amazon.es/vine/vine-items?queue=encore&amp;pn=599385031&amp;cn=2407281030</v>
      </c>
    </row>
    <row r="129" spans="1:6" x14ac:dyDescent="0.25">
      <c r="A129" s="9"/>
      <c r="B129" s="3" t="s">
        <v>325</v>
      </c>
      <c r="C129" s="3" t="str">
        <f t="shared" si="0"/>
        <v xml:space="preserve"> - Aprendizaje y educación</v>
      </c>
      <c r="D129" s="3" t="s">
        <v>499</v>
      </c>
      <c r="E129" s="3" t="s">
        <v>509</v>
      </c>
      <c r="F129" s="3" t="str">
        <f t="shared" si="2"/>
        <v>https://www.amazon.es/vine/vine-items?queue=encore&amp;pn=599385031&amp;cn=2407120030</v>
      </c>
    </row>
    <row r="130" spans="1:6" x14ac:dyDescent="0.25">
      <c r="A130" s="9"/>
      <c r="B130" s="3" t="s">
        <v>326</v>
      </c>
      <c r="C130" s="3" t="str">
        <f t="shared" si="0"/>
        <v xml:space="preserve"> - Juguetes electrónicos</v>
      </c>
      <c r="D130" s="3" t="s">
        <v>499</v>
      </c>
      <c r="E130" s="3" t="s">
        <v>510</v>
      </c>
      <c r="F130" s="3" t="str">
        <f t="shared" ref="F130:F161" si="3">"https://www.amazon.es/vine/vine-items?queue=encore&amp;pn=" &amp; D130 &amp; IF(E130 = "", "", "&amp;cn=" &amp; E130)</f>
        <v>https://www.amazon.es/vine/vine-items?queue=encore&amp;pn=599385031&amp;cn=2407143030</v>
      </c>
    </row>
    <row r="131" spans="1:6" x14ac:dyDescent="0.25">
      <c r="A131" s="9"/>
      <c r="B131" s="3" t="s">
        <v>327</v>
      </c>
      <c r="C131" s="3" t="str">
        <f t="shared" ref="C131:C194" si="4">A131 &amp; IF(B131="", "", " - " &amp; B131)</f>
        <v xml:space="preserve"> - Vehículos</v>
      </c>
      <c r="D131" s="3" t="s">
        <v>499</v>
      </c>
      <c r="E131" s="3" t="s">
        <v>511</v>
      </c>
      <c r="F131" s="3" t="str">
        <f t="shared" si="3"/>
        <v>https://www.amazon.es/vine/vine-items?queue=encore&amp;pn=599385031&amp;cn=16215301030</v>
      </c>
    </row>
    <row r="132" spans="1:6" x14ac:dyDescent="0.25">
      <c r="A132" s="9" t="s">
        <v>38</v>
      </c>
      <c r="B132" s="3"/>
      <c r="C132" s="3" t="str">
        <f t="shared" si="4"/>
        <v>Oficina y papelería</v>
      </c>
      <c r="D132" s="3" t="s">
        <v>512</v>
      </c>
      <c r="E132" s="3" t="s">
        <v>388</v>
      </c>
      <c r="F132" s="3" t="str">
        <f t="shared" si="3"/>
        <v>https://www.amazon.es/vine/vine-items?queue=encore&amp;pn=3628728031</v>
      </c>
    </row>
    <row r="133" spans="1:6" x14ac:dyDescent="0.25">
      <c r="A133" s="9"/>
      <c r="B133" s="3" t="s">
        <v>328</v>
      </c>
      <c r="C133" s="3" t="str">
        <f t="shared" si="4"/>
        <v xml:space="preserve"> - Material de oficina</v>
      </c>
      <c r="D133" s="3" t="s">
        <v>512</v>
      </c>
      <c r="E133" s="3" t="s">
        <v>513</v>
      </c>
      <c r="F133" s="3" t="str">
        <f t="shared" si="3"/>
        <v>https://www.amazon.es/vine/vine-items?queue=encore&amp;pn=3628728031&amp;cn=5279417030</v>
      </c>
    </row>
    <row r="134" spans="1:6" x14ac:dyDescent="0.25">
      <c r="A134" s="9"/>
      <c r="B134" s="3" t="s">
        <v>329</v>
      </c>
      <c r="C134" s="3" t="str">
        <f t="shared" si="4"/>
        <v xml:space="preserve"> - Productos de papel para oficina</v>
      </c>
      <c r="D134" s="3" t="s">
        <v>512</v>
      </c>
      <c r="E134" s="3" t="s">
        <v>514</v>
      </c>
      <c r="F134" s="3" t="str">
        <f t="shared" si="3"/>
        <v>https://www.amazon.es/vine/vine-items?queue=encore&amp;pn=3628728031&amp;cn=5279420030</v>
      </c>
    </row>
    <row r="135" spans="1:6" x14ac:dyDescent="0.25">
      <c r="A135" s="9"/>
      <c r="B135" s="3" t="s">
        <v>330</v>
      </c>
      <c r="C135" s="3" t="str">
        <f t="shared" si="4"/>
        <v xml:space="preserve"> - Bolígrafos, lápices y útiles de escritura</v>
      </c>
      <c r="D135" s="3" t="s">
        <v>512</v>
      </c>
      <c r="E135" s="3" t="s">
        <v>515</v>
      </c>
      <c r="F135" s="3" t="str">
        <f t="shared" si="3"/>
        <v>https://www.amazon.es/vine/vine-items?queue=encore&amp;pn=3628728031&amp;cn=5279414030</v>
      </c>
    </row>
    <row r="136" spans="1:6" x14ac:dyDescent="0.25">
      <c r="A136" s="9"/>
      <c r="B136" s="3" t="s">
        <v>331</v>
      </c>
      <c r="C136" s="3" t="str">
        <f t="shared" si="4"/>
        <v xml:space="preserve"> - Material escolar y educativo</v>
      </c>
      <c r="D136" s="3" t="s">
        <v>512</v>
      </c>
      <c r="E136" s="3" t="s">
        <v>516</v>
      </c>
      <c r="F136" s="3" t="str">
        <f t="shared" si="3"/>
        <v>https://www.amazon.es/vine/vine-items?queue=encore&amp;pn=3628728031&amp;cn=5279418030</v>
      </c>
    </row>
    <row r="137" spans="1:6" x14ac:dyDescent="0.25">
      <c r="A137" s="9"/>
      <c r="B137" s="3" t="s">
        <v>332</v>
      </c>
      <c r="C137" s="3" t="str">
        <f t="shared" si="4"/>
        <v xml:space="preserve"> - Calendarios, agendas y organizadores personales</v>
      </c>
      <c r="D137" s="3" t="s">
        <v>512</v>
      </c>
      <c r="E137" s="3" t="s">
        <v>517</v>
      </c>
      <c r="F137" s="3" t="str">
        <f t="shared" si="3"/>
        <v>https://www.amazon.es/vine/vine-items?queue=encore&amp;pn=3628728031&amp;cn=5279415030</v>
      </c>
    </row>
    <row r="138" spans="1:6" x14ac:dyDescent="0.25">
      <c r="A138" s="9"/>
      <c r="B138" s="3" t="s">
        <v>333</v>
      </c>
      <c r="C138" s="3" t="str">
        <f t="shared" si="4"/>
        <v xml:space="preserve"> - Electrónica de oficina</v>
      </c>
      <c r="D138" s="3" t="s">
        <v>512</v>
      </c>
      <c r="E138" s="3" t="s">
        <v>518</v>
      </c>
      <c r="F138" s="3" t="str">
        <f t="shared" si="3"/>
        <v>https://www.amazon.es/vine/vine-items?queue=encore&amp;pn=3628728031&amp;cn=5279416030</v>
      </c>
    </row>
    <row r="139" spans="1:6" x14ac:dyDescent="0.25">
      <c r="A139" s="9"/>
      <c r="B139" s="3" t="s">
        <v>334</v>
      </c>
      <c r="C139" s="3" t="str">
        <f t="shared" si="4"/>
        <v xml:space="preserve"> - Sobres y suministros para el correo</v>
      </c>
      <c r="D139" s="3" t="s">
        <v>512</v>
      </c>
      <c r="E139" s="3" t="s">
        <v>519</v>
      </c>
      <c r="F139" s="3" t="str">
        <f t="shared" si="3"/>
        <v>https://www.amazon.es/vine/vine-items?queue=encore&amp;pn=3628728031&amp;cn=5279421030</v>
      </c>
    </row>
    <row r="140" spans="1:6" x14ac:dyDescent="0.25">
      <c r="A140" s="9" t="s">
        <v>39</v>
      </c>
      <c r="B140" s="3"/>
      <c r="C140" s="3" t="str">
        <f t="shared" si="4"/>
        <v>Iluminación</v>
      </c>
      <c r="D140" s="3" t="s">
        <v>520</v>
      </c>
      <c r="E140" s="3" t="s">
        <v>388</v>
      </c>
      <c r="F140" s="3" t="str">
        <f t="shared" si="3"/>
        <v>https://www.amazon.es/vine/vine-items?queue=encore&amp;pn=3564289031</v>
      </c>
    </row>
    <row r="141" spans="1:6" x14ac:dyDescent="0.25">
      <c r="A141" s="9"/>
      <c r="B141" s="3" t="s">
        <v>335</v>
      </c>
      <c r="C141" s="3" t="str">
        <f t="shared" si="4"/>
        <v xml:space="preserve"> - Iluminación de interior</v>
      </c>
      <c r="D141" s="3" t="s">
        <v>520</v>
      </c>
      <c r="E141" s="3" t="s">
        <v>521</v>
      </c>
      <c r="F141" s="3" t="str">
        <f t="shared" si="3"/>
        <v>https://www.amazon.es/vine/vine-items?queue=encore&amp;pn=3564289031&amp;cn=5121400030</v>
      </c>
    </row>
    <row r="142" spans="1:6" x14ac:dyDescent="0.25">
      <c r="A142" s="9"/>
      <c r="B142" s="3" t="s">
        <v>336</v>
      </c>
      <c r="C142" s="3" t="str">
        <f t="shared" si="4"/>
        <v xml:space="preserve"> - Bombillas</v>
      </c>
      <c r="D142" s="3" t="s">
        <v>520</v>
      </c>
      <c r="E142" s="3" t="s">
        <v>522</v>
      </c>
      <c r="F142" s="3" t="str">
        <f t="shared" si="3"/>
        <v>https://www.amazon.es/vine/vine-items?queue=encore&amp;pn=3564289031&amp;cn=5121397030</v>
      </c>
    </row>
    <row r="143" spans="1:6" x14ac:dyDescent="0.25">
      <c r="A143" s="9"/>
      <c r="B143" s="3" t="s">
        <v>337</v>
      </c>
      <c r="C143" s="3" t="str">
        <f t="shared" si="4"/>
        <v xml:space="preserve"> - Guirnaldas luminosas</v>
      </c>
      <c r="D143" s="3" t="s">
        <v>520</v>
      </c>
      <c r="E143" s="3" t="s">
        <v>523</v>
      </c>
      <c r="F143" s="3" t="str">
        <f t="shared" si="3"/>
        <v>https://www.amazon.es/vine/vine-items?queue=encore&amp;pn=3564289031&amp;cn=23372600030</v>
      </c>
    </row>
    <row r="144" spans="1:6" x14ac:dyDescent="0.25">
      <c r="A144" s="9"/>
      <c r="B144" s="3" t="s">
        <v>338</v>
      </c>
      <c r="C144" s="3" t="str">
        <f t="shared" si="4"/>
        <v xml:space="preserve"> - Iluminación de exterior</v>
      </c>
      <c r="D144" s="3" t="s">
        <v>520</v>
      </c>
      <c r="E144" s="3" t="s">
        <v>524</v>
      </c>
      <c r="F144" s="3" t="str">
        <f t="shared" si="3"/>
        <v>https://www.amazon.es/vine/vine-items?queue=encore&amp;pn=3564289031&amp;cn=5121399030</v>
      </c>
    </row>
    <row r="145" spans="1:6" x14ac:dyDescent="0.25">
      <c r="A145" s="9" t="s">
        <v>40</v>
      </c>
      <c r="B145" s="3"/>
      <c r="C145" s="3" t="str">
        <f t="shared" si="4"/>
        <v>Productos para mascotas</v>
      </c>
      <c r="D145" s="3" t="s">
        <v>525</v>
      </c>
      <c r="E145" s="3" t="s">
        <v>388</v>
      </c>
      <c r="F145" s="3" t="str">
        <f t="shared" si="3"/>
        <v>https://www.amazon.es/vine/vine-items?queue=encore&amp;pn=12472654031</v>
      </c>
    </row>
    <row r="146" spans="1:6" x14ac:dyDescent="0.25">
      <c r="A146" s="9"/>
      <c r="B146" s="3" t="s">
        <v>339</v>
      </c>
      <c r="C146" s="3" t="str">
        <f t="shared" si="4"/>
        <v xml:space="preserve"> - Perros</v>
      </c>
      <c r="D146" s="3" t="s">
        <v>525</v>
      </c>
      <c r="E146" s="3" t="s">
        <v>526</v>
      </c>
      <c r="F146" s="3" t="str">
        <f t="shared" si="3"/>
        <v>https://www.amazon.es/vine/vine-items?queue=encore&amp;pn=12472654031&amp;cn=15007295030</v>
      </c>
    </row>
    <row r="147" spans="1:6" x14ac:dyDescent="0.25">
      <c r="A147" s="9"/>
      <c r="B147" s="3" t="s">
        <v>340</v>
      </c>
      <c r="C147" s="3" t="str">
        <f t="shared" si="4"/>
        <v xml:space="preserve"> - Acuáticos</v>
      </c>
      <c r="D147" s="3" t="s">
        <v>525</v>
      </c>
      <c r="E147" s="3" t="s">
        <v>527</v>
      </c>
      <c r="F147" s="3" t="str">
        <f t="shared" si="3"/>
        <v>https://www.amazon.es/vine/vine-items?queue=encore&amp;pn=12472654031&amp;cn=15007289030</v>
      </c>
    </row>
    <row r="148" spans="1:6" x14ac:dyDescent="0.25">
      <c r="A148" s="9"/>
      <c r="B148" s="3" t="s">
        <v>40</v>
      </c>
      <c r="C148" s="3" t="str">
        <f t="shared" si="4"/>
        <v xml:space="preserve"> - Productos para mascotas</v>
      </c>
      <c r="D148" s="3" t="s">
        <v>525</v>
      </c>
      <c r="E148" s="3" t="s">
        <v>525</v>
      </c>
      <c r="F148" s="3" t="str">
        <f t="shared" si="3"/>
        <v>https://www.amazon.es/vine/vine-items?queue=encore&amp;pn=12472654031&amp;cn=12472654031</v>
      </c>
    </row>
    <row r="149" spans="1:6" x14ac:dyDescent="0.25">
      <c r="A149" s="9"/>
      <c r="B149" s="3" t="s">
        <v>341</v>
      </c>
      <c r="C149" s="3" t="str">
        <f t="shared" si="4"/>
        <v xml:space="preserve"> - Gatos</v>
      </c>
      <c r="D149" s="3" t="s">
        <v>525</v>
      </c>
      <c r="E149" s="3" t="s">
        <v>528</v>
      </c>
      <c r="F149" s="3" t="str">
        <f t="shared" si="3"/>
        <v>https://www.amazon.es/vine/vine-items?queue=encore&amp;pn=12472654031&amp;cn=15007293030</v>
      </c>
    </row>
    <row r="150" spans="1:6" x14ac:dyDescent="0.25">
      <c r="A150" s="9"/>
      <c r="B150" s="3" t="s">
        <v>342</v>
      </c>
      <c r="C150" s="3" t="str">
        <f t="shared" si="4"/>
        <v xml:space="preserve"> - Animales pequeños</v>
      </c>
      <c r="D150" s="3" t="s">
        <v>525</v>
      </c>
      <c r="E150" s="3" t="s">
        <v>529</v>
      </c>
      <c r="F150" s="3" t="str">
        <f t="shared" si="3"/>
        <v>https://www.amazon.es/vine/vine-items?queue=encore&amp;pn=12472654031&amp;cn=15007290030</v>
      </c>
    </row>
    <row r="151" spans="1:6" x14ac:dyDescent="0.25">
      <c r="A151" s="9"/>
      <c r="B151" s="3" t="s">
        <v>343</v>
      </c>
      <c r="C151" s="3" t="str">
        <f t="shared" si="4"/>
        <v xml:space="preserve"> - Pájaros</v>
      </c>
      <c r="D151" s="3" t="s">
        <v>525</v>
      </c>
      <c r="E151" s="3" t="s">
        <v>530</v>
      </c>
      <c r="F151" s="3" t="str">
        <f t="shared" si="3"/>
        <v>https://www.amazon.es/vine/vine-items?queue=encore&amp;pn=12472654031&amp;cn=15007296030</v>
      </c>
    </row>
    <row r="152" spans="1:6" x14ac:dyDescent="0.25">
      <c r="A152" s="9"/>
      <c r="B152" s="3" t="s">
        <v>344</v>
      </c>
      <c r="C152" s="3" t="str">
        <f t="shared" si="4"/>
        <v xml:space="preserve"> - Caballos</v>
      </c>
      <c r="D152" s="3" t="s">
        <v>525</v>
      </c>
      <c r="E152" s="3" t="s">
        <v>531</v>
      </c>
      <c r="F152" s="3" t="str">
        <f t="shared" si="3"/>
        <v>https://www.amazon.es/vine/vine-items?queue=encore&amp;pn=12472654031&amp;cn=15007292030</v>
      </c>
    </row>
    <row r="153" spans="1:6" x14ac:dyDescent="0.25">
      <c r="A153" s="9" t="s">
        <v>41</v>
      </c>
      <c r="B153" s="3"/>
      <c r="C153" s="3" t="str">
        <f t="shared" si="4"/>
        <v>Bebé</v>
      </c>
      <c r="D153" s="3" t="s">
        <v>532</v>
      </c>
      <c r="E153" s="3" t="s">
        <v>388</v>
      </c>
      <c r="F153" s="3" t="str">
        <f t="shared" si="3"/>
        <v>https://www.amazon.es/vine/vine-items?queue=encore&amp;pn=1703495031</v>
      </c>
    </row>
    <row r="154" spans="1:6" x14ac:dyDescent="0.25">
      <c r="A154" s="9"/>
      <c r="B154" s="3" t="s">
        <v>345</v>
      </c>
      <c r="C154" s="3" t="str">
        <f t="shared" si="4"/>
        <v xml:space="preserve"> - Dormitorio</v>
      </c>
      <c r="D154" s="3" t="s">
        <v>532</v>
      </c>
      <c r="E154" s="3" t="s">
        <v>533</v>
      </c>
      <c r="F154" s="3" t="str">
        <f t="shared" si="3"/>
        <v>https://www.amazon.es/vine/vine-items?queue=encore&amp;pn=1703495031&amp;cn=2642993030</v>
      </c>
    </row>
    <row r="155" spans="1:6" x14ac:dyDescent="0.25">
      <c r="A155" s="9"/>
      <c r="B155" s="3" t="s">
        <v>346</v>
      </c>
      <c r="C155" s="3" t="str">
        <f t="shared" si="4"/>
        <v xml:space="preserve"> - Lactancia y alimentación</v>
      </c>
      <c r="D155" s="3" t="s">
        <v>532</v>
      </c>
      <c r="E155" s="3" t="s">
        <v>534</v>
      </c>
      <c r="F155" s="3" t="str">
        <f t="shared" si="3"/>
        <v>https://www.amazon.es/vine/vine-items?queue=encore&amp;pn=1703495031&amp;cn=2642992030</v>
      </c>
    </row>
    <row r="156" spans="1:6" x14ac:dyDescent="0.25">
      <c r="A156" s="9"/>
      <c r="B156" s="3" t="s">
        <v>347</v>
      </c>
      <c r="C156" s="3" t="str">
        <f t="shared" si="4"/>
        <v xml:space="preserve"> - Seguridad</v>
      </c>
      <c r="D156" s="3" t="s">
        <v>532</v>
      </c>
      <c r="E156" s="3" t="s">
        <v>535</v>
      </c>
      <c r="F156" s="3" t="str">
        <f t="shared" si="3"/>
        <v>https://www.amazon.es/vine/vine-items?queue=encore&amp;pn=1703495031&amp;cn=2642991030</v>
      </c>
    </row>
    <row r="157" spans="1:6" x14ac:dyDescent="0.25">
      <c r="A157" s="9"/>
      <c r="B157" s="3" t="s">
        <v>348</v>
      </c>
      <c r="C157" s="3" t="str">
        <f t="shared" si="4"/>
        <v xml:space="preserve"> - Remolques de bicicleta y accesorios</v>
      </c>
      <c r="D157" s="3" t="s">
        <v>532</v>
      </c>
      <c r="E157" s="3" t="s">
        <v>536</v>
      </c>
      <c r="F157" s="3" t="str">
        <f t="shared" si="3"/>
        <v>https://www.amazon.es/vine/vine-items?queue=encore&amp;pn=1703495031&amp;cn=2643005030</v>
      </c>
    </row>
    <row r="158" spans="1:6" x14ac:dyDescent="0.25">
      <c r="A158" s="9"/>
      <c r="B158" s="3" t="s">
        <v>349</v>
      </c>
      <c r="C158" s="3" t="str">
        <f t="shared" si="4"/>
        <v xml:space="preserve"> - Sillas de coche y accesorios</v>
      </c>
      <c r="D158" s="3" t="s">
        <v>532</v>
      </c>
      <c r="E158" s="3" t="s">
        <v>537</v>
      </c>
      <c r="F158" s="3" t="str">
        <f t="shared" si="3"/>
        <v>https://www.amazon.es/vine/vine-items?queue=encore&amp;pn=1703495031&amp;cn=2642990030</v>
      </c>
    </row>
    <row r="159" spans="1:6" x14ac:dyDescent="0.25">
      <c r="A159" s="9"/>
      <c r="B159" s="3" t="s">
        <v>350</v>
      </c>
      <c r="C159" s="3" t="str">
        <f t="shared" si="4"/>
        <v xml:space="preserve"> - Higiene y cuidado</v>
      </c>
      <c r="D159" s="3" t="s">
        <v>532</v>
      </c>
      <c r="E159" s="3" t="s">
        <v>538</v>
      </c>
      <c r="F159" s="3" t="str">
        <f t="shared" si="3"/>
        <v>https://www.amazon.es/vine/vine-items?queue=encore&amp;pn=1703495031&amp;cn=2642997030</v>
      </c>
    </row>
    <row r="160" spans="1:6" x14ac:dyDescent="0.25">
      <c r="A160" s="9" t="s">
        <v>42</v>
      </c>
      <c r="B160" s="3"/>
      <c r="C160" s="3" t="str">
        <f t="shared" si="4"/>
        <v>Salud y cuidado personal</v>
      </c>
      <c r="D160" s="3" t="s">
        <v>539</v>
      </c>
      <c r="E160" s="3" t="s">
        <v>388</v>
      </c>
      <c r="F160" s="3" t="str">
        <f t="shared" si="3"/>
        <v>https://www.amazon.es/vine/vine-items?queue=encore&amp;pn=3677430031</v>
      </c>
    </row>
    <row r="161" spans="1:6" x14ac:dyDescent="0.25">
      <c r="A161" s="9"/>
      <c r="B161" s="3" t="s">
        <v>351</v>
      </c>
      <c r="C161" s="3" t="str">
        <f t="shared" si="4"/>
        <v xml:space="preserve"> - Suministros y equipamiento médico</v>
      </c>
      <c r="D161" s="3" t="s">
        <v>539</v>
      </c>
      <c r="E161" s="3" t="s">
        <v>540</v>
      </c>
      <c r="F161" s="3" t="str">
        <f t="shared" si="3"/>
        <v>https://www.amazon.es/vine/vine-items?queue=encore&amp;pn=3677430031&amp;cn=5273066030</v>
      </c>
    </row>
    <row r="162" spans="1:6" x14ac:dyDescent="0.25">
      <c r="A162" s="9"/>
      <c r="B162" s="3" t="s">
        <v>352</v>
      </c>
      <c r="C162" s="3" t="str">
        <f t="shared" si="4"/>
        <v xml:space="preserve"> - Cuidado de la salud</v>
      </c>
      <c r="D162" s="3" t="s">
        <v>539</v>
      </c>
      <c r="E162" s="3" t="s">
        <v>541</v>
      </c>
      <c r="F162" s="3" t="str">
        <f t="shared" ref="F162:F193" si="5">"https://www.amazon.es/vine/vine-items?queue=encore&amp;pn=" &amp; D162 &amp; IF(E162 = "", "", "&amp;cn=" &amp; E162)</f>
        <v>https://www.amazon.es/vine/vine-items?queue=encore&amp;pn=3677430031&amp;cn=5273064030</v>
      </c>
    </row>
    <row r="163" spans="1:6" x14ac:dyDescent="0.25">
      <c r="A163" s="9"/>
      <c r="B163" s="3" t="s">
        <v>353</v>
      </c>
      <c r="C163" s="3" t="str">
        <f t="shared" si="4"/>
        <v xml:space="preserve"> - Cuidado bucal</v>
      </c>
      <c r="D163" s="3" t="s">
        <v>539</v>
      </c>
      <c r="E163" s="3" t="s">
        <v>542</v>
      </c>
      <c r="F163" s="3" t="str">
        <f t="shared" si="5"/>
        <v>https://www.amazon.es/vine/vine-items?queue=encore&amp;pn=3677430031&amp;cn=5273062030</v>
      </c>
    </row>
    <row r="164" spans="1:6" x14ac:dyDescent="0.25">
      <c r="A164" s="9"/>
      <c r="B164" s="3" t="s">
        <v>354</v>
      </c>
      <c r="C164" s="3" t="str">
        <f t="shared" si="4"/>
        <v xml:space="preserve"> - Bienestar</v>
      </c>
      <c r="D164" s="3" t="s">
        <v>539</v>
      </c>
      <c r="E164" s="3" t="s">
        <v>543</v>
      </c>
      <c r="F164" s="3" t="str">
        <f t="shared" si="5"/>
        <v>https://www.amazon.es/vine/vine-items?queue=encore&amp;pn=3677430031&amp;cn=5273060030</v>
      </c>
    </row>
    <row r="165" spans="1:6" x14ac:dyDescent="0.25">
      <c r="A165" s="9"/>
      <c r="B165" s="3" t="s">
        <v>355</v>
      </c>
      <c r="C165" s="3" t="str">
        <f t="shared" si="4"/>
        <v xml:space="preserve"> - Dispositivos para fumar y accesorios</v>
      </c>
      <c r="D165" s="3" t="s">
        <v>539</v>
      </c>
      <c r="E165" s="3" t="s">
        <v>544</v>
      </c>
      <c r="F165" s="3" t="str">
        <f t="shared" si="5"/>
        <v>https://www.amazon.es/vine/vine-items?queue=encore&amp;pn=3677430031&amp;cn=7480877030</v>
      </c>
    </row>
    <row r="166" spans="1:6" x14ac:dyDescent="0.25">
      <c r="A166" s="9"/>
      <c r="B166" s="3" t="s">
        <v>356</v>
      </c>
      <c r="C166" s="3" t="str">
        <f t="shared" si="4"/>
        <v xml:space="preserve"> - Vitaminas, minerales y suplementos</v>
      </c>
      <c r="D166" s="3" t="s">
        <v>539</v>
      </c>
      <c r="E166" s="3" t="s">
        <v>545</v>
      </c>
      <c r="F166" s="3" t="str">
        <f t="shared" si="5"/>
        <v>https://www.amazon.es/vine/vine-items?queue=encore&amp;pn=3677430031&amp;cn=5273219030</v>
      </c>
    </row>
    <row r="167" spans="1:6" x14ac:dyDescent="0.25">
      <c r="A167" s="9"/>
      <c r="B167" s="3" t="s">
        <v>357</v>
      </c>
      <c r="C167" s="3" t="str">
        <f t="shared" si="4"/>
        <v xml:space="preserve"> - Cuidado y limpieza del hogar</v>
      </c>
      <c r="D167" s="3" t="s">
        <v>539</v>
      </c>
      <c r="E167" s="3" t="s">
        <v>546</v>
      </c>
      <c r="F167" s="3" t="str">
        <f t="shared" si="5"/>
        <v>https://www.amazon.es/vine/vine-items?queue=encore&amp;pn=3677430031&amp;cn=7346366030</v>
      </c>
    </row>
    <row r="168" spans="1:6" x14ac:dyDescent="0.25">
      <c r="A168" s="9" t="s">
        <v>43</v>
      </c>
      <c r="B168" s="3"/>
      <c r="C168" s="3" t="str">
        <f t="shared" si="4"/>
        <v>Videojuegos</v>
      </c>
      <c r="D168" s="3" t="s">
        <v>547</v>
      </c>
      <c r="E168" s="3" t="s">
        <v>388</v>
      </c>
      <c r="F168" s="3" t="str">
        <f t="shared" si="5"/>
        <v>https://www.amazon.es/vine/vine-items?queue=encore&amp;pn=599382031</v>
      </c>
    </row>
    <row r="169" spans="1:6" x14ac:dyDescent="0.25">
      <c r="A169" s="9"/>
      <c r="B169" s="3" t="s">
        <v>43</v>
      </c>
      <c r="C169" s="3" t="str">
        <f t="shared" si="4"/>
        <v xml:space="preserve"> - Videojuegos</v>
      </c>
      <c r="D169" s="3" t="s">
        <v>547</v>
      </c>
      <c r="E169" s="3" t="s">
        <v>547</v>
      </c>
      <c r="F169" s="3" t="str">
        <f t="shared" si="5"/>
        <v>https://www.amazon.es/vine/vine-items?queue=encore&amp;pn=599382031&amp;cn=599382031</v>
      </c>
    </row>
    <row r="170" spans="1:6" x14ac:dyDescent="0.25">
      <c r="A170" s="9"/>
      <c r="B170" s="3" t="s">
        <v>358</v>
      </c>
      <c r="C170" s="3" t="str">
        <f t="shared" si="4"/>
        <v xml:space="preserve"> - Nintendo Switch 2</v>
      </c>
      <c r="D170" s="3" t="s">
        <v>547</v>
      </c>
      <c r="E170" s="3" t="s">
        <v>548</v>
      </c>
      <c r="F170" s="3" t="str">
        <f t="shared" si="5"/>
        <v>https://www.amazon.es/vine/vine-items?queue=encore&amp;pn=599382031&amp;cn=206234223030</v>
      </c>
    </row>
    <row r="171" spans="1:6" x14ac:dyDescent="0.25">
      <c r="A171" s="9"/>
      <c r="B171" s="3" t="s">
        <v>359</v>
      </c>
      <c r="C171" s="3" t="str">
        <f t="shared" si="4"/>
        <v xml:space="preserve"> - Sistemas heredados</v>
      </c>
      <c r="D171" s="3" t="s">
        <v>547</v>
      </c>
      <c r="E171" s="3" t="s">
        <v>549</v>
      </c>
      <c r="F171" s="3" t="str">
        <f t="shared" si="5"/>
        <v>https://www.amazon.es/vine/vine-items?queue=encore&amp;pn=599382031&amp;cn=29989371030</v>
      </c>
    </row>
    <row r="172" spans="1:6" x14ac:dyDescent="0.25">
      <c r="A172" s="9"/>
      <c r="B172" s="3" t="s">
        <v>360</v>
      </c>
      <c r="C172" s="3" t="str">
        <f t="shared" si="4"/>
        <v xml:space="preserve"> - Nintendo Switch</v>
      </c>
      <c r="D172" s="3" t="s">
        <v>547</v>
      </c>
      <c r="E172" s="3" t="s">
        <v>550</v>
      </c>
      <c r="F172" s="3" t="str">
        <f t="shared" si="5"/>
        <v>https://www.amazon.es/vine/vine-items?queue=encore&amp;pn=599382031&amp;cn=13847457030</v>
      </c>
    </row>
    <row r="173" spans="1:6" x14ac:dyDescent="0.25">
      <c r="A173" s="9"/>
      <c r="B173" s="3" t="s">
        <v>361</v>
      </c>
      <c r="C173" s="3" t="str">
        <f t="shared" si="4"/>
        <v xml:space="preserve"> - PlayStation 5</v>
      </c>
      <c r="D173" s="3" t="s">
        <v>547</v>
      </c>
      <c r="E173" s="3" t="s">
        <v>551</v>
      </c>
      <c r="F173" s="3" t="str">
        <f t="shared" si="5"/>
        <v>https://www.amazon.es/vine/vine-items?queue=encore&amp;pn=599382031&amp;cn=23499754030</v>
      </c>
    </row>
    <row r="174" spans="1:6" x14ac:dyDescent="0.25">
      <c r="A174" s="9"/>
      <c r="B174" s="3" t="s">
        <v>362</v>
      </c>
      <c r="C174" s="3" t="str">
        <f t="shared" si="4"/>
        <v xml:space="preserve"> - Realidad virtual</v>
      </c>
      <c r="D174" s="3" t="s">
        <v>547</v>
      </c>
      <c r="E174" s="3" t="s">
        <v>552</v>
      </c>
      <c r="F174" s="3" t="str">
        <f t="shared" si="5"/>
        <v>https://www.amazon.es/vine/vine-items?queue=encore&amp;pn=599382031&amp;cn=25447187030</v>
      </c>
    </row>
    <row r="175" spans="1:6" x14ac:dyDescent="0.25">
      <c r="A175" s="9" t="s">
        <v>44</v>
      </c>
      <c r="B175" s="3"/>
      <c r="C175" s="3" t="str">
        <f t="shared" si="4"/>
        <v>Grandes electrodomésticos</v>
      </c>
      <c r="D175" s="3" t="s">
        <v>553</v>
      </c>
      <c r="E175" s="3" t="s">
        <v>388</v>
      </c>
      <c r="F175" s="3" t="str">
        <f t="shared" si="5"/>
        <v>https://www.amazon.es/vine/vine-items?queue=encore&amp;pn=4772050031</v>
      </c>
    </row>
    <row r="176" spans="1:6" x14ac:dyDescent="0.25">
      <c r="A176" s="9"/>
      <c r="B176" s="3" t="s">
        <v>363</v>
      </c>
      <c r="C176" s="3" t="str">
        <f t="shared" si="4"/>
        <v xml:space="preserve"> - Piezas y accesorios</v>
      </c>
      <c r="D176" s="3" t="s">
        <v>553</v>
      </c>
      <c r="E176" s="3" t="s">
        <v>554</v>
      </c>
      <c r="F176" s="3" t="str">
        <f t="shared" si="5"/>
        <v>https://www.amazon.es/vine/vine-items?queue=encore&amp;pn=4772050031&amp;cn=16260529030</v>
      </c>
    </row>
    <row r="177" spans="1:6" x14ac:dyDescent="0.25">
      <c r="A177" s="9" t="s">
        <v>45</v>
      </c>
      <c r="B177" s="3"/>
      <c r="C177" s="3" t="str">
        <f t="shared" si="4"/>
        <v>Instrumentos musicales</v>
      </c>
      <c r="D177" s="3" t="s">
        <v>555</v>
      </c>
      <c r="E177" s="3" t="s">
        <v>388</v>
      </c>
      <c r="F177" s="3" t="str">
        <f t="shared" si="5"/>
        <v>https://www.amazon.es/vine/vine-items?queue=encore&amp;pn=3628866031</v>
      </c>
    </row>
    <row r="178" spans="1:6" x14ac:dyDescent="0.25">
      <c r="A178" s="9"/>
      <c r="B178" s="3" t="s">
        <v>364</v>
      </c>
      <c r="C178" s="3" t="str">
        <f t="shared" si="4"/>
        <v xml:space="preserve"> - Percusión</v>
      </c>
      <c r="D178" s="3" t="s">
        <v>555</v>
      </c>
      <c r="E178" s="3" t="s">
        <v>556</v>
      </c>
      <c r="F178" s="3" t="str">
        <f t="shared" si="5"/>
        <v>https://www.amazon.es/vine/vine-items?queue=encore&amp;pn=3628866031&amp;cn=5917450030</v>
      </c>
    </row>
    <row r="179" spans="1:6" x14ac:dyDescent="0.25">
      <c r="A179" s="9"/>
      <c r="B179" s="3" t="s">
        <v>365</v>
      </c>
      <c r="C179" s="3" t="str">
        <f t="shared" si="4"/>
        <v xml:space="preserve"> - Pianos y teclados</v>
      </c>
      <c r="D179" s="3" t="s">
        <v>555</v>
      </c>
      <c r="E179" s="3" t="s">
        <v>557</v>
      </c>
      <c r="F179" s="3" t="str">
        <f t="shared" si="5"/>
        <v>https://www.amazon.es/vine/vine-items?queue=encore&amp;pn=3628866031&amp;cn=5917451030</v>
      </c>
    </row>
    <row r="180" spans="1:6" x14ac:dyDescent="0.25">
      <c r="A180" s="9"/>
      <c r="B180" s="3" t="s">
        <v>366</v>
      </c>
      <c r="C180" s="3" t="str">
        <f t="shared" si="4"/>
        <v xml:space="preserve"> - Accesorios para músicos y producción musical</v>
      </c>
      <c r="D180" s="3" t="s">
        <v>555</v>
      </c>
      <c r="E180" s="3" t="s">
        <v>558</v>
      </c>
      <c r="F180" s="3" t="str">
        <f t="shared" si="5"/>
        <v>https://www.amazon.es/vine/vine-items?queue=encore&amp;pn=3628866031&amp;cn=5917441030</v>
      </c>
    </row>
    <row r="181" spans="1:6" x14ac:dyDescent="0.25">
      <c r="A181" s="9"/>
      <c r="B181" s="3" t="s">
        <v>367</v>
      </c>
      <c r="C181" s="3" t="str">
        <f t="shared" si="4"/>
        <v xml:space="preserve"> - Instrumentos de viento</v>
      </c>
      <c r="D181" s="3" t="s">
        <v>555</v>
      </c>
      <c r="E181" s="3" t="s">
        <v>559</v>
      </c>
      <c r="F181" s="3" t="str">
        <f t="shared" si="5"/>
        <v>https://www.amazon.es/vine/vine-items?queue=encore&amp;pn=3628866031&amp;cn=5917448030</v>
      </c>
    </row>
    <row r="182" spans="1:6" x14ac:dyDescent="0.25">
      <c r="A182" s="9"/>
      <c r="B182" s="3" t="s">
        <v>368</v>
      </c>
      <c r="C182" s="3" t="str">
        <f t="shared" si="4"/>
        <v xml:space="preserve"> - Instrumentos de cuerda</v>
      </c>
      <c r="D182" s="3" t="s">
        <v>555</v>
      </c>
      <c r="E182" s="3" t="s">
        <v>560</v>
      </c>
      <c r="F182" s="3" t="str">
        <f t="shared" si="5"/>
        <v>https://www.amazon.es/vine/vine-items?queue=encore&amp;pn=3628866031&amp;cn=5917447030</v>
      </c>
    </row>
    <row r="183" spans="1:6" x14ac:dyDescent="0.25">
      <c r="A183" s="9"/>
      <c r="B183" s="3" t="s">
        <v>369</v>
      </c>
      <c r="C183" s="3" t="str">
        <f t="shared" si="4"/>
        <v xml:space="preserve"> - Guitarras y accesorios</v>
      </c>
      <c r="D183" s="3" t="s">
        <v>555</v>
      </c>
      <c r="E183" s="3" t="s">
        <v>561</v>
      </c>
      <c r="F183" s="3" t="str">
        <f t="shared" si="5"/>
        <v>https://www.amazon.es/vine/vine-items?queue=encore&amp;pn=3628866031&amp;cn=5917446030</v>
      </c>
    </row>
    <row r="184" spans="1:6" x14ac:dyDescent="0.25">
      <c r="A184" s="9"/>
      <c r="B184" s="3" t="s">
        <v>370</v>
      </c>
      <c r="C184" s="3" t="str">
        <f t="shared" si="4"/>
        <v xml:space="preserve"> - Sistemas de escenario y megafonía</v>
      </c>
      <c r="D184" s="3" t="s">
        <v>555</v>
      </c>
      <c r="E184" s="3" t="s">
        <v>562</v>
      </c>
      <c r="F184" s="3" t="str">
        <f t="shared" si="5"/>
        <v>https://www.amazon.es/vine/vine-items?queue=encore&amp;pn=3628866031&amp;cn=5917453030</v>
      </c>
    </row>
    <row r="185" spans="1:6" x14ac:dyDescent="0.25">
      <c r="A185" s="9" t="s">
        <v>46</v>
      </c>
      <c r="B185" s="3"/>
      <c r="C185" s="3" t="str">
        <f t="shared" si="4"/>
        <v>Alimentación y bebidas</v>
      </c>
      <c r="D185" s="3" t="s">
        <v>563</v>
      </c>
      <c r="E185" s="3" t="s">
        <v>388</v>
      </c>
      <c r="F185" s="3" t="str">
        <f t="shared" si="5"/>
        <v>https://www.amazon.es/vine/vine-items?queue=encore&amp;pn=6198072031</v>
      </c>
    </row>
    <row r="186" spans="1:6" x14ac:dyDescent="0.25">
      <c r="A186" s="9"/>
      <c r="B186" s="3" t="s">
        <v>371</v>
      </c>
      <c r="C186" s="3" t="str">
        <f t="shared" si="4"/>
        <v xml:space="preserve"> - Productos para cocina y repostería</v>
      </c>
      <c r="D186" s="3" t="s">
        <v>563</v>
      </c>
      <c r="E186" s="3" t="s">
        <v>564</v>
      </c>
      <c r="F186" s="3" t="str">
        <f t="shared" si="5"/>
        <v>https://www.amazon.es/vine/vine-items?queue=encore&amp;pn=6198072031&amp;cn=7370998030</v>
      </c>
    </row>
    <row r="187" spans="1:6" x14ac:dyDescent="0.25">
      <c r="A187" s="9" t="s">
        <v>47</v>
      </c>
      <c r="B187" s="3"/>
      <c r="C187" s="3" t="str">
        <f t="shared" si="4"/>
        <v>Belleza</v>
      </c>
      <c r="D187" s="3" t="s">
        <v>565</v>
      </c>
      <c r="E187" s="3" t="s">
        <v>388</v>
      </c>
      <c r="F187" s="3" t="str">
        <f t="shared" si="5"/>
        <v>https://www.amazon.es/vine/vine-items?queue=encore&amp;pn=6198054031</v>
      </c>
    </row>
    <row r="188" spans="1:6" x14ac:dyDescent="0.25">
      <c r="A188" s="9"/>
      <c r="B188" s="3" t="s">
        <v>372</v>
      </c>
      <c r="C188" s="3" t="str">
        <f t="shared" si="4"/>
        <v xml:space="preserve"> - Afeitado y depilación</v>
      </c>
      <c r="D188" s="3" t="s">
        <v>565</v>
      </c>
      <c r="E188" s="3" t="s">
        <v>566</v>
      </c>
      <c r="F188" s="3" t="str">
        <f t="shared" si="5"/>
        <v>https://www.amazon.es/vine/vine-items?queue=encore&amp;pn=6198054031&amp;cn=5273058030</v>
      </c>
    </row>
    <row r="189" spans="1:6" x14ac:dyDescent="0.25">
      <c r="A189" s="9"/>
      <c r="B189" s="3" t="s">
        <v>373</v>
      </c>
      <c r="C189" s="3" t="str">
        <f t="shared" si="4"/>
        <v xml:space="preserve"> - Cuidado del cabello</v>
      </c>
      <c r="D189" s="3" t="s">
        <v>565</v>
      </c>
      <c r="E189" s="3" t="s">
        <v>567</v>
      </c>
      <c r="F189" s="3" t="str">
        <f t="shared" si="5"/>
        <v>https://www.amazon.es/vine/vine-items?queue=encore&amp;pn=6198054031&amp;cn=5273878030</v>
      </c>
    </row>
    <row r="190" spans="1:6" x14ac:dyDescent="0.25">
      <c r="A190" s="9"/>
      <c r="B190" s="3" t="s">
        <v>374</v>
      </c>
      <c r="C190" s="3" t="str">
        <f t="shared" si="4"/>
        <v xml:space="preserve"> - Utensilios y accesorios</v>
      </c>
      <c r="D190" s="3" t="s">
        <v>565</v>
      </c>
      <c r="E190" s="3" t="s">
        <v>568</v>
      </c>
      <c r="F190" s="3" t="str">
        <f t="shared" si="5"/>
        <v>https://www.amazon.es/vine/vine-items?queue=encore&amp;pn=6198054031&amp;cn=7397448030</v>
      </c>
    </row>
    <row r="191" spans="1:6" x14ac:dyDescent="0.25">
      <c r="A191" s="9"/>
      <c r="B191" s="3" t="s">
        <v>375</v>
      </c>
      <c r="C191" s="3" t="str">
        <f t="shared" si="4"/>
        <v xml:space="preserve"> - Equipo de salón y spa</v>
      </c>
      <c r="D191" s="3" t="s">
        <v>565</v>
      </c>
      <c r="E191" s="3" t="s">
        <v>569</v>
      </c>
      <c r="F191" s="3" t="str">
        <f t="shared" si="5"/>
        <v>https://www.amazon.es/vine/vine-items?queue=encore&amp;pn=6198054031&amp;cn=30274096030</v>
      </c>
    </row>
    <row r="192" spans="1:6" x14ac:dyDescent="0.25">
      <c r="A192" s="9"/>
      <c r="B192" s="3" t="s">
        <v>376</v>
      </c>
      <c r="C192" s="3" t="str">
        <f t="shared" si="4"/>
        <v xml:space="preserve"> - Baño e higiene personal</v>
      </c>
      <c r="D192" s="3" t="s">
        <v>565</v>
      </c>
      <c r="E192" s="3" t="s">
        <v>570</v>
      </c>
      <c r="F192" s="3" t="str">
        <f t="shared" si="5"/>
        <v>https://www.amazon.es/vine/vine-items?queue=encore&amp;pn=6198054031&amp;cn=5273856030</v>
      </c>
    </row>
    <row r="193" spans="1:6" x14ac:dyDescent="0.25">
      <c r="A193" s="9" t="s">
        <v>48</v>
      </c>
      <c r="B193" s="3"/>
      <c r="C193" s="3" t="str">
        <f t="shared" si="4"/>
        <v>Otros Productos</v>
      </c>
      <c r="D193" s="3" t="s">
        <v>571</v>
      </c>
      <c r="E193" s="3" t="s">
        <v>388</v>
      </c>
      <c r="F193" s="3" t="str">
        <f t="shared" si="5"/>
        <v>https://www.amazon.es/vine/vine-items?queue=encore&amp;pn=667040031</v>
      </c>
    </row>
    <row r="194" spans="1:6" x14ac:dyDescent="0.25">
      <c r="A194" s="14"/>
      <c r="B194" s="15" t="s">
        <v>48</v>
      </c>
      <c r="C194" s="15" t="str">
        <f t="shared" si="4"/>
        <v xml:space="preserve"> - Otros Productos</v>
      </c>
      <c r="D194" s="15" t="s">
        <v>571</v>
      </c>
      <c r="E194" s="15" t="s">
        <v>571</v>
      </c>
      <c r="F194" s="15" t="str">
        <f t="shared" ref="F194" si="6">"https://www.amazon.es/vine/vine-items?queue=encore&amp;pn=" &amp; D194 &amp; IF(E194 = "", "", "&amp;cn=" &amp; E194)</f>
        <v>https://www.amazon.es/vine/vine-items?queue=encore&amp;pn=667040031&amp;cn=667040031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9BE3-E713-40A3-B0CB-0991B6DE0DA5}">
  <sheetPr codeName="Sheet4"/>
  <dimension ref="A1:E214"/>
  <sheetViews>
    <sheetView workbookViewId="0">
      <selection activeCell="C3" sqref="C3"/>
    </sheetView>
  </sheetViews>
  <sheetFormatPr defaultRowHeight="15" x14ac:dyDescent="0.25"/>
  <cols>
    <col min="1" max="1" width="35.5703125" bestFit="1" customWidth="1"/>
    <col min="2" max="2" width="51.85546875" bestFit="1" customWidth="1"/>
    <col min="3" max="3" width="104.85546875" bestFit="1" customWidth="1"/>
    <col min="4" max="4" width="12.85546875" bestFit="1" customWidth="1"/>
    <col min="5" max="5" width="13.140625" bestFit="1" customWidth="1"/>
  </cols>
  <sheetData>
    <row r="1" spans="1:5" x14ac:dyDescent="0.25">
      <c r="A1" t="s">
        <v>384</v>
      </c>
      <c r="B1" t="s">
        <v>385</v>
      </c>
      <c r="C1" t="s">
        <v>386</v>
      </c>
    </row>
    <row r="2" spans="1:5" x14ac:dyDescent="0.25">
      <c r="A2" s="2" t="s">
        <v>381</v>
      </c>
      <c r="B2" t="str">
        <f t="shared" ref="B2:B16" si="0">TRIM(LEFT(A2,FIND("(",A2)-2))</f>
        <v>Electrónica</v>
      </c>
      <c r="C2" t="str" cm="1">
        <f t="array" ref="C2">ObtenerURL(A2)</f>
        <v>https://www.amazon.es/vine/vine-items?queue=encore&amp;pn=599370031</v>
      </c>
      <c r="D2" t="str">
        <f>IF(C2="", "", MID(C2, FIND("pn=", C2) + 3, IFERROR(FIND("&amp;", C2, FIND("pn=", C2)) - FIND("pn=", C2) - 3, LEN(C2))))</f>
        <v>599370031</v>
      </c>
      <c r="E2" t="str">
        <f>IF(OR(C2="", ISERROR(FIND("cn=", C2))), "", MID(C2, FIND("cn=", C2) + 3, IFERROR(FIND("&amp;", C2, FIND("cn=", C2)) - FIND("cn=", C2) - 3, LEN(C2))))</f>
        <v/>
      </c>
    </row>
    <row r="3" spans="1:5" ht="30" x14ac:dyDescent="0.25">
      <c r="A3" s="1" t="s">
        <v>382</v>
      </c>
      <c r="B3" t="str">
        <f t="shared" si="0"/>
        <v>Comunicación móvil y accesorios</v>
      </c>
      <c r="C3" t="str" cm="1">
        <f t="array" ref="C3">ObtenerURL(A3)</f>
        <v>https://www.amazon.es/vine/vine-items?queue=encore&amp;pn=599370031&amp;cn=1397144030</v>
      </c>
      <c r="D3" t="str">
        <f t="shared" ref="D3:D66" si="1">IF(C3="", "", MID(C3, FIND("pn=", C3) + 3, IFERROR(FIND("&amp;", C3, FIND("pn=", C3)) - FIND("pn=", C3) - 3, LEN(C3))))</f>
        <v>599370031</v>
      </c>
      <c r="E3" t="str">
        <f t="shared" ref="E3:E66" si="2">IF(OR(C3="", ISERROR(FIND("cn=", C3))), "", MID(C3, FIND("cn=", C3) + 3, IFERROR(FIND("&amp;", C3, FIND("cn=", C3)) - FIND("cn=", C3) - 3, LEN(C3))))</f>
        <v>1397144030</v>
      </c>
    </row>
    <row r="4" spans="1:5" x14ac:dyDescent="0.25">
      <c r="A4" s="1" t="s">
        <v>49</v>
      </c>
      <c r="B4" t="str">
        <f t="shared" si="0"/>
        <v>Tecnología para vestir</v>
      </c>
      <c r="C4" t="str" cm="1">
        <f t="array" ref="C4">ObtenerURL(A4)</f>
        <v>https://www.amazon.es/vine/vine-items?queue=encore&amp;pn=599370031&amp;cn=19813440030</v>
      </c>
      <c r="D4" t="str">
        <f t="shared" si="1"/>
        <v>599370031</v>
      </c>
      <c r="E4" t="str">
        <f t="shared" si="2"/>
        <v>19813440030</v>
      </c>
    </row>
    <row r="5" spans="1:5" x14ac:dyDescent="0.25">
      <c r="A5" s="1" t="s">
        <v>50</v>
      </c>
      <c r="B5" t="str">
        <f t="shared" si="0"/>
        <v>Auriculares y accesorios</v>
      </c>
      <c r="C5" t="str" cm="1">
        <f t="array" ref="C5">ObtenerURL(A5)</f>
        <v>https://www.amazon.es/vine/vine-items?queue=encore&amp;pn=599370031&amp;cn=19808502030</v>
      </c>
      <c r="D5" t="str">
        <f t="shared" si="1"/>
        <v>599370031</v>
      </c>
      <c r="E5" t="str">
        <f t="shared" si="2"/>
        <v>19808502030</v>
      </c>
    </row>
    <row r="6" spans="1:5" x14ac:dyDescent="0.25">
      <c r="A6" s="1" t="s">
        <v>51</v>
      </c>
      <c r="B6" t="str">
        <f t="shared" si="0"/>
        <v>TV, vídeo y home cinema</v>
      </c>
      <c r="C6" t="str" cm="1">
        <f t="array" ref="C6">ObtenerURL(A6)</f>
        <v>https://www.amazon.es/vine/vine-items?queue=encore&amp;pn=599370031&amp;cn=1396269030</v>
      </c>
      <c r="D6" t="str">
        <f t="shared" si="1"/>
        <v>599370031</v>
      </c>
      <c r="E6" t="str">
        <f t="shared" si="2"/>
        <v>1396269030</v>
      </c>
    </row>
    <row r="7" spans="1:5" x14ac:dyDescent="0.25">
      <c r="A7" s="1" t="s">
        <v>383</v>
      </c>
      <c r="B7" t="str">
        <f t="shared" si="0"/>
        <v>Fotografía y videocámaras</v>
      </c>
      <c r="C7" t="str" cm="1">
        <f t="array" ref="C7">ObtenerURL(A7)</f>
        <v>https://www.amazon.es/vine/vine-items?queue=encore&amp;pn=599370031&amp;cn=1396270030</v>
      </c>
      <c r="D7" t="str">
        <f t="shared" si="1"/>
        <v>599370031</v>
      </c>
      <c r="E7" t="str">
        <f t="shared" si="2"/>
        <v>1396270030</v>
      </c>
    </row>
    <row r="8" spans="1:5" x14ac:dyDescent="0.25">
      <c r="A8" s="1" t="s">
        <v>52</v>
      </c>
      <c r="B8" t="str">
        <f t="shared" si="0"/>
        <v>Equipos de audio y Hi-Fi</v>
      </c>
      <c r="C8" t="str" cm="1">
        <f t="array" ref="C8">ObtenerURL(A8)</f>
        <v>https://www.amazon.es/vine/vine-items?queue=encore&amp;pn=599370031&amp;cn=1397126030</v>
      </c>
      <c r="D8" t="str">
        <f t="shared" si="1"/>
        <v>599370031</v>
      </c>
      <c r="E8" t="str">
        <f t="shared" si="2"/>
        <v>1397126030</v>
      </c>
    </row>
    <row r="9" spans="1:5" x14ac:dyDescent="0.25">
      <c r="A9" s="1" t="s">
        <v>53</v>
      </c>
      <c r="B9" t="str">
        <f t="shared" si="0"/>
        <v>Audio y vídeo portátil</v>
      </c>
      <c r="C9" t="str" cm="1">
        <f t="array" ref="C9">ObtenerURL(A9)</f>
        <v>https://www.amazon.es/vine/vine-items?queue=encore&amp;pn=599370031&amp;cn=1397128030</v>
      </c>
      <c r="D9" t="str">
        <f t="shared" si="1"/>
        <v>599370031</v>
      </c>
      <c r="E9" t="str">
        <f t="shared" si="2"/>
        <v>1397128030</v>
      </c>
    </row>
    <row r="10" spans="1:5" x14ac:dyDescent="0.25">
      <c r="A10" s="1" t="s">
        <v>54</v>
      </c>
      <c r="B10" t="str">
        <f t="shared" si="0"/>
        <v>Electrónica para vehículos</v>
      </c>
      <c r="C10" t="str" cm="1">
        <f t="array" ref="C10">ObtenerURL(A10)</f>
        <v>https://www.amazon.es/vine/vine-items?queue=encore&amp;pn=599370031&amp;cn=1670550030</v>
      </c>
      <c r="D10" t="str">
        <f t="shared" si="1"/>
        <v>599370031</v>
      </c>
      <c r="E10" t="str">
        <f t="shared" si="2"/>
        <v>1670550030</v>
      </c>
    </row>
    <row r="11" spans="1:5" x14ac:dyDescent="0.25">
      <c r="A11" s="1" t="s">
        <v>1</v>
      </c>
      <c r="B11" t="str">
        <f t="shared" si="0"/>
        <v>Accesorios de alimentación</v>
      </c>
      <c r="C11" t="str" cm="1">
        <f t="array" ref="C11">ObtenerURL(A11)</f>
        <v>https://www.amazon.es/vine/vine-items?queue=encore&amp;pn=599370031&amp;cn=1714944030</v>
      </c>
      <c r="D11" t="str">
        <f t="shared" si="1"/>
        <v>599370031</v>
      </c>
      <c r="E11" t="str">
        <f t="shared" si="2"/>
        <v>1714944030</v>
      </c>
    </row>
    <row r="12" spans="1:5" x14ac:dyDescent="0.25">
      <c r="A12" s="1" t="s">
        <v>2</v>
      </c>
      <c r="B12" t="str">
        <f t="shared" si="0"/>
        <v>Radiocomunicación</v>
      </c>
      <c r="C12" t="str" cm="1">
        <f t="array" ref="C12">ObtenerURL(A12)</f>
        <v>https://www.amazon.es/vine/vine-items?queue=encore&amp;pn=599370031&amp;cn=1670553030</v>
      </c>
      <c r="D12" t="str">
        <f t="shared" si="1"/>
        <v>599370031</v>
      </c>
      <c r="E12" t="str">
        <f t="shared" si="2"/>
        <v>1670553030</v>
      </c>
    </row>
    <row r="13" spans="1:5" x14ac:dyDescent="0.25">
      <c r="A13" s="1" t="s">
        <v>3</v>
      </c>
      <c r="B13" t="str">
        <f t="shared" si="0"/>
        <v>GPS y accesorios</v>
      </c>
      <c r="C13" t="str" cm="1">
        <f t="array" ref="C13">ObtenerURL(A13)</f>
        <v>https://www.amazon.es/vine/vine-items?queue=encore&amp;pn=599370031&amp;cn=1396271030</v>
      </c>
      <c r="D13" t="str">
        <f t="shared" si="1"/>
        <v>599370031</v>
      </c>
      <c r="E13" t="str">
        <f t="shared" si="2"/>
        <v>1396271030</v>
      </c>
    </row>
    <row r="14" spans="1:5" x14ac:dyDescent="0.25">
      <c r="A14" s="1" t="s">
        <v>4</v>
      </c>
      <c r="B14" t="str">
        <f t="shared" si="0"/>
        <v>Pilas y cargadores</v>
      </c>
      <c r="C14" t="str" cm="1">
        <f t="array" ref="C14">ObtenerURL(A14)</f>
        <v>https://www.amazon.es/vine/vine-items?queue=encore&amp;pn=599370031&amp;cn=1676614030</v>
      </c>
      <c r="D14" t="str">
        <f t="shared" si="1"/>
        <v>599370031</v>
      </c>
      <c r="E14" t="str">
        <f t="shared" si="2"/>
        <v>1676614030</v>
      </c>
    </row>
    <row r="15" spans="1:5" x14ac:dyDescent="0.25">
      <c r="A15" s="1" t="s">
        <v>5</v>
      </c>
      <c r="B15" t="str">
        <f t="shared" si="0"/>
        <v>Telefonía fija y accesorios</v>
      </c>
      <c r="C15" t="str" cm="1">
        <f t="array" ref="C15">ObtenerURL(A15)</f>
        <v>https://www.amazon.es/vine/vine-items?queue=encore&amp;pn=599370031&amp;cn=1670552030</v>
      </c>
      <c r="D15" t="str">
        <f t="shared" si="1"/>
        <v>599370031</v>
      </c>
      <c r="E15" t="str">
        <f t="shared" si="2"/>
        <v>1670552030</v>
      </c>
    </row>
    <row r="16" spans="1:5" x14ac:dyDescent="0.25">
      <c r="A16" s="1" t="s">
        <v>6</v>
      </c>
      <c r="B16" t="str">
        <f t="shared" si="0"/>
        <v>Electrónica</v>
      </c>
      <c r="C16" t="str" cm="1">
        <f t="array" ref="C16">ObtenerURL(A16)</f>
        <v>https://www.amazon.es/vine/vine-items?queue=encore&amp;pn=599370031&amp;cn=599370031</v>
      </c>
      <c r="D16" t="str">
        <f t="shared" si="1"/>
        <v>599370031</v>
      </c>
      <c r="E16" t="str">
        <f t="shared" si="2"/>
        <v>599370031</v>
      </c>
    </row>
    <row r="17" spans="1:5" x14ac:dyDescent="0.25">
      <c r="A17" s="1" t="s">
        <v>7</v>
      </c>
      <c r="C17" t="str" cm="1">
        <f t="array" ref="C17">ObtenerURL(A17)</f>
        <v>https://www.amazon.es/vine/vine-items?queue=encore&amp;pn=599370031&amp;cn=1670551030</v>
      </c>
      <c r="D17" t="str">
        <f t="shared" si="1"/>
        <v>599370031</v>
      </c>
      <c r="E17" t="str">
        <f t="shared" si="2"/>
        <v>1670551030</v>
      </c>
    </row>
    <row r="18" spans="1:5" x14ac:dyDescent="0.25">
      <c r="A18" s="1"/>
      <c r="C18" t="str" cm="1">
        <f t="array" ref="C18">ObtenerURL(A18)</f>
        <v/>
      </c>
      <c r="D18" t="str">
        <f t="shared" si="1"/>
        <v/>
      </c>
      <c r="E18" t="str">
        <f t="shared" si="2"/>
        <v/>
      </c>
    </row>
    <row r="19" spans="1:5" x14ac:dyDescent="0.25">
      <c r="A19" s="2" t="s">
        <v>8</v>
      </c>
      <c r="B19" t="str">
        <f t="shared" ref="B19:B29" si="3">TRIM(LEFT(A19,FIND("(",A19)-2))</f>
        <v>Hogar y cocina</v>
      </c>
      <c r="C19" t="str" cm="1">
        <f t="array" ref="C19">ObtenerURL(A19)</f>
        <v>https://www.amazon.es/vine/vine-items?queue=encore&amp;pn=599391031</v>
      </c>
      <c r="D19" t="str">
        <f t="shared" si="1"/>
        <v>599391031</v>
      </c>
      <c r="E19" t="str">
        <f t="shared" si="2"/>
        <v/>
      </c>
    </row>
    <row r="20" spans="1:5" x14ac:dyDescent="0.25">
      <c r="A20" s="1" t="s">
        <v>67</v>
      </c>
      <c r="B20" t="str">
        <f t="shared" si="3"/>
        <v>Costura y manualidades</v>
      </c>
      <c r="C20" t="str" cm="1">
        <f t="array" ref="C20">ObtenerURL(A20)</f>
        <v>https://www.amazon.es/vine/vine-items?queue=encore&amp;pn=599391031&amp;cn=5285555030</v>
      </c>
      <c r="D20" t="str">
        <f t="shared" si="1"/>
        <v>599391031</v>
      </c>
      <c r="E20" t="str">
        <f t="shared" si="2"/>
        <v>5285555030</v>
      </c>
    </row>
    <row r="21" spans="1:5" ht="30" x14ac:dyDescent="0.25">
      <c r="A21" s="1" t="s">
        <v>68</v>
      </c>
      <c r="B21" t="str">
        <f t="shared" si="3"/>
        <v>Aspiración, limpieza y cuidado de suelo y ventanas</v>
      </c>
      <c r="C21" t="str" cm="1">
        <f t="array" ref="C21">ObtenerURL(A21)</f>
        <v>https://www.amazon.es/vine/vine-items?queue=encore&amp;pn=599391031&amp;cn=2991577030</v>
      </c>
      <c r="D21" t="str">
        <f t="shared" si="1"/>
        <v>599391031</v>
      </c>
      <c r="E21" t="str">
        <f t="shared" si="2"/>
        <v>2991577030</v>
      </c>
    </row>
    <row r="22" spans="1:5" x14ac:dyDescent="0.25">
      <c r="A22" s="1" t="s">
        <v>69</v>
      </c>
      <c r="B22" t="str">
        <f t="shared" si="3"/>
        <v>Decoración del hogar</v>
      </c>
      <c r="C22" t="str" cm="1">
        <f t="array" ref="C22">ObtenerURL(A22)</f>
        <v>https://www.amazon.es/vine/vine-items?queue=encore&amp;pn=599391031&amp;cn=3703686030</v>
      </c>
      <c r="D22" t="str">
        <f t="shared" si="1"/>
        <v>599391031</v>
      </c>
      <c r="E22" t="str">
        <f t="shared" si="2"/>
        <v>3703686030</v>
      </c>
    </row>
    <row r="23" spans="1:5" x14ac:dyDescent="0.25">
      <c r="A23" s="1" t="s">
        <v>70</v>
      </c>
      <c r="B23" t="str">
        <f t="shared" si="3"/>
        <v>Climatización y calefacción</v>
      </c>
      <c r="C23" t="str" cm="1">
        <f t="array" ref="C23">ObtenerURL(A23)</f>
        <v>https://www.amazon.es/vine/vine-items?queue=encore&amp;pn=599391031&amp;cn=4503992030</v>
      </c>
      <c r="D23" t="str">
        <f t="shared" si="1"/>
        <v>599391031</v>
      </c>
      <c r="E23" t="str">
        <f t="shared" si="2"/>
        <v>4503992030</v>
      </c>
    </row>
    <row r="24" spans="1:5" x14ac:dyDescent="0.25">
      <c r="A24" s="1" t="s">
        <v>71</v>
      </c>
      <c r="B24" t="str">
        <f t="shared" si="3"/>
        <v>Pequeño electrodoméstico</v>
      </c>
      <c r="C24" t="str" cm="1">
        <f t="array" ref="C24">ObtenerURL(A24)</f>
        <v>https://www.amazon.es/vine/vine-items?queue=encore&amp;pn=599391031&amp;cn=2991261030</v>
      </c>
      <c r="D24" t="str">
        <f t="shared" si="1"/>
        <v>599391031</v>
      </c>
      <c r="E24" t="str">
        <f t="shared" si="2"/>
        <v>2991261030</v>
      </c>
    </row>
    <row r="25" spans="1:5" x14ac:dyDescent="0.25">
      <c r="A25" s="1" t="s">
        <v>72</v>
      </c>
      <c r="B25" t="str">
        <f t="shared" si="3"/>
        <v>Utensilios</v>
      </c>
      <c r="C25" t="str" cm="1">
        <f t="array" ref="C25">ObtenerURL(A25)</f>
        <v>https://www.amazon.es/vine/vine-items?queue=encore&amp;pn=599391031&amp;cn=2991451030</v>
      </c>
      <c r="D25" t="str">
        <f t="shared" si="1"/>
        <v>599391031</v>
      </c>
      <c r="E25" t="str">
        <f t="shared" si="2"/>
        <v>2991451030</v>
      </c>
    </row>
    <row r="26" spans="1:5" x14ac:dyDescent="0.25">
      <c r="A26" s="1" t="s">
        <v>73</v>
      </c>
      <c r="B26" t="str">
        <f t="shared" si="3"/>
        <v>Cubertería, vajilla y cristalería</v>
      </c>
      <c r="C26" t="str" cm="1">
        <f t="array" ref="C26">ObtenerURL(A26)</f>
        <v>https://www.amazon.es/vine/vine-items?queue=encore&amp;pn=599391031&amp;cn=2991342030</v>
      </c>
      <c r="D26" t="str">
        <f t="shared" si="1"/>
        <v>599391031</v>
      </c>
      <c r="E26" t="str">
        <f t="shared" si="2"/>
        <v>2991342030</v>
      </c>
    </row>
    <row r="27" spans="1:5" x14ac:dyDescent="0.25">
      <c r="A27" s="1" t="s">
        <v>74</v>
      </c>
      <c r="B27" t="str">
        <f t="shared" si="3"/>
        <v>Repostería</v>
      </c>
      <c r="C27" t="str" cm="1">
        <f t="array" ref="C27">ObtenerURL(A27)</f>
        <v>https://www.amazon.es/vine/vine-items?queue=encore&amp;pn=599391031&amp;cn=3998375030</v>
      </c>
      <c r="D27" t="str">
        <f t="shared" si="1"/>
        <v>599391031</v>
      </c>
      <c r="E27" t="str">
        <f t="shared" si="2"/>
        <v>3998375030</v>
      </c>
    </row>
    <row r="28" spans="1:5" x14ac:dyDescent="0.25">
      <c r="A28" s="1" t="s">
        <v>75</v>
      </c>
      <c r="B28" t="str">
        <f t="shared" si="3"/>
        <v>Almacenamiento y organización</v>
      </c>
      <c r="C28" t="str" cm="1">
        <f t="array" ref="C28">ObtenerURL(A28)</f>
        <v>https://www.amazon.es/vine/vine-items?queue=encore&amp;pn=599391031&amp;cn=4245468030</v>
      </c>
      <c r="D28" t="str">
        <f t="shared" si="1"/>
        <v>599391031</v>
      </c>
      <c r="E28" t="str">
        <f t="shared" si="2"/>
        <v>4245468030</v>
      </c>
    </row>
    <row r="29" spans="1:5" ht="30" x14ac:dyDescent="0.25">
      <c r="A29" s="1" t="s">
        <v>76</v>
      </c>
      <c r="B29" t="str">
        <f t="shared" si="3"/>
        <v>Productos y utensilios de limpieza</v>
      </c>
      <c r="C29" t="str" cm="1">
        <f t="array" ref="C29">ObtenerURL(A29)</f>
        <v>https://www.amazon.es/vine/vine-items?queue=encore&amp;pn=599391031&amp;cn=4578274030</v>
      </c>
      <c r="D29" t="str">
        <f t="shared" si="1"/>
        <v>599391031</v>
      </c>
      <c r="E29" t="str">
        <f t="shared" si="2"/>
        <v>4578274030</v>
      </c>
    </row>
    <row r="30" spans="1:5" ht="30" x14ac:dyDescent="0.25">
      <c r="A30" s="1" t="s">
        <v>77</v>
      </c>
      <c r="B30" t="str">
        <f t="shared" ref="B30:B93" si="4">TRIM(LEFT(A30,FIND("(",A30)-2))</f>
        <v>Almacenamiento de cocina y despensa</v>
      </c>
      <c r="C30" t="str" cm="1">
        <f t="array" ref="C30">ObtenerURL(A30)</f>
        <v>https://www.amazon.es/vine/vine-items?queue=encore&amp;pn=599391031&amp;cn=2991109030</v>
      </c>
      <c r="D30" t="str">
        <f t="shared" si="1"/>
        <v>599391031</v>
      </c>
      <c r="E30" t="str">
        <f t="shared" si="2"/>
        <v>2991109030</v>
      </c>
    </row>
    <row r="31" spans="1:5" x14ac:dyDescent="0.25">
      <c r="A31" s="1" t="s">
        <v>78</v>
      </c>
      <c r="B31" t="str">
        <f t="shared" si="4"/>
        <v>Baño</v>
      </c>
      <c r="C31" t="str" cm="1">
        <f t="array" ref="C31">ObtenerURL(A31)</f>
        <v>https://www.amazon.es/vine/vine-items?queue=encore&amp;pn=599391031&amp;cn=4125251030</v>
      </c>
      <c r="D31" t="str">
        <f t="shared" si="1"/>
        <v>599391031</v>
      </c>
      <c r="E31" t="str">
        <f t="shared" si="2"/>
        <v>4125251030</v>
      </c>
    </row>
    <row r="32" spans="1:5" x14ac:dyDescent="0.25">
      <c r="A32" s="1" t="s">
        <v>79</v>
      </c>
      <c r="B32" t="str">
        <f t="shared" si="4"/>
        <v>Muebles</v>
      </c>
      <c r="C32" t="str" cm="1">
        <f t="array" ref="C32">ObtenerURL(A32)</f>
        <v>https://www.amazon.es/vine/vine-items?queue=encore&amp;pn=599391031&amp;cn=3680439030</v>
      </c>
      <c r="D32" t="str">
        <f t="shared" si="1"/>
        <v>599391031</v>
      </c>
      <c r="E32" t="str">
        <f t="shared" si="2"/>
        <v>3680439030</v>
      </c>
    </row>
    <row r="33" spans="1:5" x14ac:dyDescent="0.25">
      <c r="A33" s="1" t="s">
        <v>80</v>
      </c>
      <c r="B33" t="str">
        <f t="shared" si="4"/>
        <v>Textiles del hogar</v>
      </c>
      <c r="C33" t="str" cm="1">
        <f t="array" ref="C33">ObtenerURL(A33)</f>
        <v>https://www.amazon.es/vine/vine-items?queue=encore&amp;pn=599391031&amp;cn=4130616030</v>
      </c>
      <c r="D33" t="str">
        <f t="shared" si="1"/>
        <v>599391031</v>
      </c>
      <c r="E33" t="str">
        <f t="shared" si="2"/>
        <v>4130616030</v>
      </c>
    </row>
    <row r="34" spans="1:5" x14ac:dyDescent="0.25">
      <c r="A34" s="1" t="s">
        <v>81</v>
      </c>
      <c r="B34" t="str">
        <f t="shared" si="4"/>
        <v>Café y té</v>
      </c>
      <c r="C34" t="str" cm="1">
        <f t="array" ref="C34">ObtenerURL(A34)</f>
        <v>https://www.amazon.es/vine/vine-items?queue=encore&amp;pn=599391031&amp;cn=2991052030</v>
      </c>
      <c r="D34" t="str">
        <f t="shared" si="1"/>
        <v>599391031</v>
      </c>
      <c r="E34" t="str">
        <f t="shared" si="2"/>
        <v>2991052030</v>
      </c>
    </row>
    <row r="35" spans="1:5" x14ac:dyDescent="0.25">
      <c r="A35" s="1" t="s">
        <v>82</v>
      </c>
      <c r="B35" t="str">
        <f t="shared" si="4"/>
        <v>Menaje de cocina</v>
      </c>
      <c r="C35" t="str" cm="1">
        <f t="array" ref="C35">ObtenerURL(A35)</f>
        <v>https://www.amazon.es/vine/vine-items?queue=encore&amp;pn=599391031&amp;cn=3998363030</v>
      </c>
      <c r="D35" t="str">
        <f t="shared" si="1"/>
        <v>599391031</v>
      </c>
      <c r="E35" t="str">
        <f t="shared" si="2"/>
        <v>3998363030</v>
      </c>
    </row>
    <row r="36" spans="1:5" x14ac:dyDescent="0.25">
      <c r="A36" s="1" t="s">
        <v>83</v>
      </c>
      <c r="B36" t="str">
        <f t="shared" si="4"/>
        <v>Hogar y cocina</v>
      </c>
      <c r="C36" t="str" cm="1">
        <f t="array" ref="C36">ObtenerURL(A36)</f>
        <v>https://www.amazon.es/vine/vine-items?queue=encore&amp;pn=599391031&amp;cn=599391031</v>
      </c>
      <c r="D36" t="str">
        <f t="shared" si="1"/>
        <v>599391031</v>
      </c>
      <c r="E36" t="str">
        <f t="shared" si="2"/>
        <v>599391031</v>
      </c>
    </row>
    <row r="37" spans="1:5" ht="30" x14ac:dyDescent="0.25">
      <c r="A37" s="1" t="s">
        <v>84</v>
      </c>
      <c r="B37" t="str">
        <f t="shared" si="4"/>
        <v>Obras de arte y material decorativo</v>
      </c>
      <c r="C37" t="str" cm="1">
        <f t="array" ref="C37">ObtenerURL(A37)</f>
        <v>https://www.amazon.es/vine/vine-items?queue=encore&amp;pn=599391031&amp;cn=5579405030</v>
      </c>
      <c r="D37" t="str">
        <f t="shared" si="1"/>
        <v>599391031</v>
      </c>
      <c r="E37" t="str">
        <f t="shared" si="2"/>
        <v>5579405030</v>
      </c>
    </row>
    <row r="38" spans="1:5" x14ac:dyDescent="0.25">
      <c r="A38" s="1" t="s">
        <v>85</v>
      </c>
      <c r="B38" t="str">
        <f t="shared" si="4"/>
        <v>Fabricación de cerveza y vino</v>
      </c>
      <c r="C38" t="str" cm="1">
        <f t="array" ref="C38">ObtenerURL(A38)</f>
        <v>https://www.amazon.es/vine/vine-items?queue=encore&amp;pn=599391031&amp;cn=2991223030</v>
      </c>
      <c r="D38" t="str">
        <f t="shared" si="1"/>
        <v>599391031</v>
      </c>
      <c r="E38" t="str">
        <f t="shared" si="2"/>
        <v>2991223030</v>
      </c>
    </row>
    <row r="39" spans="1:5" x14ac:dyDescent="0.25">
      <c r="C39" t="str" cm="1">
        <f t="array" ref="C39">ObtenerURL(A39)</f>
        <v/>
      </c>
      <c r="D39" t="str">
        <f t="shared" si="1"/>
        <v/>
      </c>
      <c r="E39" t="str">
        <f t="shared" si="2"/>
        <v/>
      </c>
    </row>
    <row r="40" spans="1:5" x14ac:dyDescent="0.25">
      <c r="A40" s="2" t="s">
        <v>104</v>
      </c>
      <c r="B40" t="str">
        <f t="shared" si="4"/>
        <v>Informática</v>
      </c>
      <c r="C40" t="str" cm="1">
        <f t="array" ref="C40">ObtenerURL(A40)</f>
        <v>https://www.amazon.es/vine/vine-items?queue=encore&amp;pn=667049031</v>
      </c>
      <c r="D40" t="str">
        <f t="shared" si="1"/>
        <v>667049031</v>
      </c>
      <c r="E40" t="str">
        <f t="shared" si="2"/>
        <v/>
      </c>
    </row>
    <row r="41" spans="1:5" x14ac:dyDescent="0.25">
      <c r="A41" s="1" t="s">
        <v>105</v>
      </c>
      <c r="B41" t="str">
        <f t="shared" si="4"/>
        <v>Accesorios</v>
      </c>
      <c r="C41" t="str" cm="1">
        <f t="array" ref="C41">ObtenerURL(A41)</f>
        <v>https://www.amazon.es/vine/vine-items?queue=encore&amp;pn=667049031&amp;cn=1680506030</v>
      </c>
      <c r="D41" t="str">
        <f t="shared" si="1"/>
        <v>667049031</v>
      </c>
      <c r="E41" t="str">
        <f t="shared" si="2"/>
        <v>1680506030</v>
      </c>
    </row>
    <row r="42" spans="1:5" x14ac:dyDescent="0.25">
      <c r="A42" s="1" t="s">
        <v>106</v>
      </c>
      <c r="B42" t="str">
        <f t="shared" si="4"/>
        <v>Impresoras y accesorios</v>
      </c>
      <c r="C42" t="str" cm="1">
        <f t="array" ref="C42">ObtenerURL(A42)</f>
        <v>https://www.amazon.es/vine/vine-items?queue=encore&amp;pn=667049031&amp;cn=19879505030</v>
      </c>
      <c r="D42" t="str">
        <f t="shared" si="1"/>
        <v>667049031</v>
      </c>
      <c r="E42" t="str">
        <f t="shared" si="2"/>
        <v>19879505030</v>
      </c>
    </row>
    <row r="43" spans="1:5" x14ac:dyDescent="0.25">
      <c r="A43" s="1" t="s">
        <v>107</v>
      </c>
      <c r="B43" t="str">
        <f t="shared" si="4"/>
        <v>Componentes</v>
      </c>
      <c r="C43" t="str" cm="1">
        <f t="array" ref="C43">ObtenerURL(A43)</f>
        <v>https://www.amazon.es/vine/vine-items?queue=encore&amp;pn=667049031&amp;cn=1680665030</v>
      </c>
      <c r="D43" t="str">
        <f t="shared" si="1"/>
        <v>667049031</v>
      </c>
      <c r="E43" t="str">
        <f t="shared" si="2"/>
        <v>1680665030</v>
      </c>
    </row>
    <row r="44" spans="1:5" x14ac:dyDescent="0.25">
      <c r="A44" s="1" t="s">
        <v>108</v>
      </c>
      <c r="B44" t="str">
        <f t="shared" si="4"/>
        <v>Dispositivos de red</v>
      </c>
      <c r="C44" t="str" cm="1">
        <f t="array" ref="C44">ObtenerURL(A44)</f>
        <v>https://www.amazon.es/vine/vine-items?queue=encore&amp;pn=667049031&amp;cn=1680711030</v>
      </c>
      <c r="D44" t="str">
        <f t="shared" si="1"/>
        <v>667049031</v>
      </c>
      <c r="E44" t="str">
        <f t="shared" si="2"/>
        <v>1680711030</v>
      </c>
    </row>
    <row r="45" spans="1:5" x14ac:dyDescent="0.25">
      <c r="A45" s="1" t="s">
        <v>109</v>
      </c>
      <c r="B45" t="str">
        <f t="shared" si="4"/>
        <v>Almacenamiento de datos</v>
      </c>
      <c r="C45" t="str" cm="1">
        <f t="array" ref="C45">ObtenerURL(A45)</f>
        <v>https://www.amazon.es/vine/vine-items?queue=encore&amp;pn=667049031&amp;cn=19874943030</v>
      </c>
      <c r="D45" t="str">
        <f t="shared" si="1"/>
        <v>667049031</v>
      </c>
      <c r="E45" t="str">
        <f t="shared" si="2"/>
        <v>19874943030</v>
      </c>
    </row>
    <row r="46" spans="1:5" x14ac:dyDescent="0.25">
      <c r="A46" s="1" t="s">
        <v>110</v>
      </c>
      <c r="B46" t="str">
        <f t="shared" si="4"/>
        <v>Escáneres y accesorios</v>
      </c>
      <c r="C46" t="str" cm="1">
        <f t="array" ref="C46">ObtenerURL(A46)</f>
        <v>https://www.amazon.es/vine/vine-items?queue=encore&amp;pn=667049031&amp;cn=19879501030</v>
      </c>
      <c r="D46" t="str">
        <f t="shared" si="1"/>
        <v>667049031</v>
      </c>
      <c r="E46" t="str">
        <f t="shared" si="2"/>
        <v>19879501030</v>
      </c>
    </row>
    <row r="47" spans="1:5" x14ac:dyDescent="0.25">
      <c r="C47" t="str" cm="1">
        <f t="array" ref="C47">ObtenerURL(A47)</f>
        <v/>
      </c>
      <c r="D47" t="str">
        <f t="shared" si="1"/>
        <v/>
      </c>
      <c r="E47" t="str">
        <f t="shared" si="2"/>
        <v/>
      </c>
    </row>
    <row r="48" spans="1:5" x14ac:dyDescent="0.25">
      <c r="A48" s="2" t="s">
        <v>9</v>
      </c>
      <c r="B48" t="str">
        <f t="shared" si="4"/>
        <v>Bricolaje y herramientas</v>
      </c>
      <c r="C48" t="str" cm="1">
        <f t="array" ref="C48">ObtenerURL(A48)</f>
        <v>https://www.amazon.es/vine/vine-items?queue=encore&amp;pn=2454133031</v>
      </c>
      <c r="D48" t="str">
        <f t="shared" si="1"/>
        <v>2454133031</v>
      </c>
      <c r="E48" t="str">
        <f t="shared" si="2"/>
        <v/>
      </c>
    </row>
    <row r="49" spans="1:5" x14ac:dyDescent="0.25">
      <c r="A49" s="1" t="s">
        <v>117</v>
      </c>
      <c r="B49" t="str">
        <f t="shared" si="4"/>
        <v>Ferretería</v>
      </c>
      <c r="C49" t="str" cm="1">
        <f t="array" ref="C49">ObtenerURL(A49)</f>
        <v>https://www.amazon.es/vine/vine-items?queue=encore&amp;pn=2454133031&amp;cn=3922816030</v>
      </c>
      <c r="D49" t="str">
        <f t="shared" si="1"/>
        <v>2454133031</v>
      </c>
      <c r="E49" t="str">
        <f t="shared" si="2"/>
        <v>3922816030</v>
      </c>
    </row>
    <row r="50" spans="1:5" ht="30" x14ac:dyDescent="0.25">
      <c r="A50" s="1" t="s">
        <v>118</v>
      </c>
      <c r="B50" t="str">
        <f t="shared" si="4"/>
        <v>Herramientas manuales y eléctricas</v>
      </c>
      <c r="C50" t="str" cm="1">
        <f t="array" ref="C50">ObtenerURL(A50)</f>
        <v>https://www.amazon.es/vine/vine-items?queue=encore&amp;pn=2454133031&amp;cn=3922819030</v>
      </c>
      <c r="D50" t="str">
        <f t="shared" si="1"/>
        <v>2454133031</v>
      </c>
      <c r="E50" t="str">
        <f t="shared" si="2"/>
        <v>3922819030</v>
      </c>
    </row>
    <row r="51" spans="1:5" ht="30" x14ac:dyDescent="0.25">
      <c r="A51" s="1" t="s">
        <v>119</v>
      </c>
      <c r="B51" t="str">
        <f t="shared" si="4"/>
        <v>Pinturas, herramientas y tratamiento de paredes</v>
      </c>
      <c r="C51" t="str" cm="1">
        <f t="array" ref="C51">ObtenerURL(A51)</f>
        <v>https://www.amazon.es/vine/vine-items?queue=encore&amp;pn=2454133031&amp;cn=3922822030</v>
      </c>
      <c r="D51" t="str">
        <f t="shared" si="1"/>
        <v>2454133031</v>
      </c>
      <c r="E51" t="str">
        <f t="shared" si="2"/>
        <v>3922822030</v>
      </c>
    </row>
    <row r="52" spans="1:5" x14ac:dyDescent="0.25">
      <c r="A52" s="1" t="s">
        <v>120</v>
      </c>
      <c r="B52" t="str">
        <f t="shared" si="4"/>
        <v>Suministros de construcción</v>
      </c>
      <c r="C52" t="str" cm="1">
        <f t="array" ref="C52">ObtenerURL(A52)</f>
        <v>https://www.amazon.es/vine/vine-items?queue=encore&amp;pn=2454133031&amp;cn=3922824030</v>
      </c>
      <c r="D52" t="str">
        <f t="shared" si="1"/>
        <v>2454133031</v>
      </c>
      <c r="E52" t="str">
        <f t="shared" si="2"/>
        <v>3922824030</v>
      </c>
    </row>
    <row r="53" spans="1:5" x14ac:dyDescent="0.25">
      <c r="A53" s="1" t="s">
        <v>121</v>
      </c>
      <c r="B53" t="str">
        <f t="shared" si="4"/>
        <v>Prevención y seguridad</v>
      </c>
      <c r="C53" t="str" cm="1">
        <f t="array" ref="C53">ObtenerURL(A53)</f>
        <v>https://www.amazon.es/vine/vine-items?queue=encore&amp;pn=2454133031&amp;cn=3922823030</v>
      </c>
      <c r="D53" t="str">
        <f t="shared" si="1"/>
        <v>2454133031</v>
      </c>
      <c r="E53" t="str">
        <f t="shared" si="2"/>
        <v>3922823030</v>
      </c>
    </row>
    <row r="54" spans="1:5" x14ac:dyDescent="0.25">
      <c r="A54" s="1" t="s">
        <v>122</v>
      </c>
      <c r="B54" t="str">
        <f t="shared" si="4"/>
        <v>Instalación eléctrica</v>
      </c>
      <c r="C54" t="str" cm="1">
        <f t="array" ref="C54">ObtenerURL(A54)</f>
        <v>https://www.amazon.es/vine/vine-items?queue=encore&amp;pn=2454133031&amp;cn=3922815030</v>
      </c>
      <c r="D54" t="str">
        <f t="shared" si="1"/>
        <v>2454133031</v>
      </c>
      <c r="E54" t="str">
        <f t="shared" si="2"/>
        <v>3922815030</v>
      </c>
    </row>
    <row r="55" spans="1:5" x14ac:dyDescent="0.25">
      <c r="A55" s="1" t="s">
        <v>123</v>
      </c>
      <c r="B55" t="str">
        <f t="shared" si="4"/>
        <v>Fontanería</v>
      </c>
      <c r="C55" t="str" cm="1">
        <f t="array" ref="C55">ObtenerURL(A55)</f>
        <v>https://www.amazon.es/vine/vine-items?queue=encore&amp;pn=2454133031&amp;cn=3922818030</v>
      </c>
      <c r="D55" t="str">
        <f t="shared" si="1"/>
        <v>2454133031</v>
      </c>
      <c r="E55" t="str">
        <f t="shared" si="2"/>
        <v>3922818030</v>
      </c>
    </row>
    <row r="56" spans="1:5" x14ac:dyDescent="0.25">
      <c r="A56" s="1" t="s">
        <v>124</v>
      </c>
      <c r="B56" t="str">
        <f t="shared" si="4"/>
        <v>Instalación de baño y cocina</v>
      </c>
      <c r="C56" t="str" cm="1">
        <f t="array" ref="C56">ObtenerURL(A56)</f>
        <v>https://www.amazon.es/vine/vine-items?queue=encore&amp;pn=2454133031&amp;cn=3922817030</v>
      </c>
      <c r="D56" t="str">
        <f t="shared" si="1"/>
        <v>2454133031</v>
      </c>
      <c r="E56" t="str">
        <f t="shared" si="2"/>
        <v>3922817030</v>
      </c>
    </row>
    <row r="57" spans="1:5" ht="30" x14ac:dyDescent="0.25">
      <c r="A57" s="1" t="s">
        <v>125</v>
      </c>
      <c r="B57" t="str">
        <f t="shared" si="4"/>
        <v>Organización y almacenaje en casa</v>
      </c>
      <c r="C57" t="str" cm="1">
        <f t="array" ref="C57">ObtenerURL(A57)</f>
        <v>https://www.amazon.es/vine/vine-items?queue=encore&amp;pn=2454133031&amp;cn=3922821030</v>
      </c>
      <c r="D57" t="str">
        <f t="shared" si="1"/>
        <v>2454133031</v>
      </c>
      <c r="E57" t="str">
        <f t="shared" si="2"/>
        <v>3922821030</v>
      </c>
    </row>
    <row r="58" spans="1:5" x14ac:dyDescent="0.25">
      <c r="A58" s="1" t="s">
        <v>126</v>
      </c>
      <c r="B58" t="str">
        <f t="shared" si="4"/>
        <v>Bricolaje y herramientas</v>
      </c>
      <c r="C58" t="str" cm="1">
        <f t="array" ref="C58">ObtenerURL(A58)</f>
        <v>https://www.amazon.es/vine/vine-items?queue=encore&amp;pn=2454133031&amp;cn=2454133031</v>
      </c>
      <c r="D58" t="str">
        <f t="shared" si="1"/>
        <v>2454133031</v>
      </c>
      <c r="E58" t="str">
        <f t="shared" si="2"/>
        <v>2454133031</v>
      </c>
    </row>
    <row r="59" spans="1:5" x14ac:dyDescent="0.25">
      <c r="A59" s="1" t="s">
        <v>127</v>
      </c>
      <c r="B59" t="str">
        <f t="shared" si="4"/>
        <v>Chimeneas y accesorios</v>
      </c>
      <c r="C59" t="str" cm="1">
        <f t="array" ref="C59">ObtenerURL(A59)</f>
        <v>https://www.amazon.es/vine/vine-items?queue=encore&amp;pn=2454133031&amp;cn=3703847030</v>
      </c>
      <c r="D59" t="str">
        <f t="shared" si="1"/>
        <v>2454133031</v>
      </c>
      <c r="E59" t="str">
        <f t="shared" si="2"/>
        <v>3703847030</v>
      </c>
    </row>
    <row r="60" spans="1:5" x14ac:dyDescent="0.25">
      <c r="C60" t="str" cm="1">
        <f t="array" ref="C60">ObtenerURL(A60)</f>
        <v/>
      </c>
      <c r="D60" t="str">
        <f t="shared" si="1"/>
        <v/>
      </c>
      <c r="E60" t="str">
        <f t="shared" si="2"/>
        <v/>
      </c>
    </row>
    <row r="61" spans="1:5" x14ac:dyDescent="0.25">
      <c r="A61" s="2" t="s">
        <v>138</v>
      </c>
      <c r="B61" t="str">
        <f t="shared" si="4"/>
        <v>Coche y moto</v>
      </c>
      <c r="C61" t="str" cm="1">
        <f t="array" ref="C61">ObtenerURL(A61)</f>
        <v>https://www.amazon.es/vine/vine-items?queue=encore&amp;pn=1951051031</v>
      </c>
      <c r="D61" t="str">
        <f t="shared" si="1"/>
        <v>1951051031</v>
      </c>
      <c r="E61" t="str">
        <f t="shared" si="2"/>
        <v/>
      </c>
    </row>
    <row r="62" spans="1:5" x14ac:dyDescent="0.25">
      <c r="A62" s="1" t="s">
        <v>139</v>
      </c>
      <c r="B62" t="str">
        <f t="shared" si="4"/>
        <v>Motos, accesorios y piezas</v>
      </c>
      <c r="C62" t="str" cm="1">
        <f t="array" ref="C62">ObtenerURL(A62)</f>
        <v>https://www.amazon.es/vine/vine-items?queue=encore&amp;pn=1951051031&amp;cn=3268226030</v>
      </c>
      <c r="D62" t="str">
        <f t="shared" si="1"/>
        <v>1951051031</v>
      </c>
      <c r="E62" t="str">
        <f t="shared" si="2"/>
        <v>3268226030</v>
      </c>
    </row>
    <row r="63" spans="1:5" x14ac:dyDescent="0.25">
      <c r="A63" s="1" t="s">
        <v>140</v>
      </c>
      <c r="B63" t="str">
        <f t="shared" si="4"/>
        <v>Piezas para coche</v>
      </c>
      <c r="C63" t="str" cm="1">
        <f t="array" ref="C63">ObtenerURL(A63)</f>
        <v>https://www.amazon.es/vine/vine-items?queue=encore&amp;pn=1951051031&amp;cn=3267987030</v>
      </c>
      <c r="D63" t="str">
        <f t="shared" si="1"/>
        <v>1951051031</v>
      </c>
      <c r="E63" t="str">
        <f t="shared" si="2"/>
        <v>3267987030</v>
      </c>
    </row>
    <row r="64" spans="1:5" x14ac:dyDescent="0.25">
      <c r="A64" s="1" t="s">
        <v>141</v>
      </c>
      <c r="B64" t="str">
        <f t="shared" si="4"/>
        <v>Accesorios para coche</v>
      </c>
      <c r="C64" t="str" cm="1">
        <f t="array" ref="C64">ObtenerURL(A64)</f>
        <v>https://www.amazon.es/vine/vine-items?queue=encore&amp;pn=1951051031&amp;cn=3267811030</v>
      </c>
      <c r="D64" t="str">
        <f t="shared" si="1"/>
        <v>1951051031</v>
      </c>
      <c r="E64" t="str">
        <f t="shared" si="2"/>
        <v>3267811030</v>
      </c>
    </row>
    <row r="65" spans="1:5" x14ac:dyDescent="0.25">
      <c r="A65" s="1" t="s">
        <v>142</v>
      </c>
      <c r="B65" t="str">
        <f t="shared" si="4"/>
        <v>Herramientas para coche</v>
      </c>
      <c r="C65" t="str" cm="1">
        <f t="array" ref="C65">ObtenerURL(A65)</f>
        <v>https://www.amazon.es/vine/vine-items?queue=encore&amp;pn=1951051031&amp;cn=3267965030</v>
      </c>
      <c r="D65" t="str">
        <f t="shared" si="1"/>
        <v>1951051031</v>
      </c>
      <c r="E65" t="str">
        <f t="shared" si="2"/>
        <v>3267965030</v>
      </c>
    </row>
    <row r="66" spans="1:5" x14ac:dyDescent="0.25">
      <c r="A66" s="1" t="s">
        <v>143</v>
      </c>
      <c r="B66" t="str">
        <f t="shared" si="4"/>
        <v>Neumáticos y llantas</v>
      </c>
      <c r="C66" t="str" cm="1">
        <f t="array" ref="C66">ObtenerURL(A66)</f>
        <v>https://www.amazon.es/vine/vine-items?queue=encore&amp;pn=1951051031&amp;cn=3267975030</v>
      </c>
      <c r="D66" t="str">
        <f t="shared" si="1"/>
        <v>1951051031</v>
      </c>
      <c r="E66" t="str">
        <f t="shared" si="2"/>
        <v>3267975030</v>
      </c>
    </row>
    <row r="67" spans="1:5" x14ac:dyDescent="0.25">
      <c r="A67" s="1" t="s">
        <v>144</v>
      </c>
      <c r="B67" t="str">
        <f t="shared" si="4"/>
        <v>Productos para aficionados</v>
      </c>
      <c r="C67" t="str" cm="1">
        <f t="array" ref="C67">ObtenerURL(A67)</f>
        <v>https://www.amazon.es/vine/vine-items?queue=encore&amp;pn=1951051031&amp;cn=3268496030</v>
      </c>
      <c r="D67" t="str">
        <f t="shared" ref="D67:D130" si="5">IF(C67="", "", MID(C67, FIND("pn=", C67) + 3, IFERROR(FIND("&amp;", C67, FIND("pn=", C67)) - FIND("pn=", C67) - 3, LEN(C67))))</f>
        <v>1951051031</v>
      </c>
      <c r="E67" t="str">
        <f t="shared" ref="E67:E130" si="6">IF(OR(C67="", ISERROR(FIND("cn=", C67))), "", MID(C67, FIND("cn=", C67) + 3, IFERROR(FIND("&amp;", C67, FIND("cn=", C67)) - FIND("cn=", C67) - 3, LEN(C67))))</f>
        <v>3268496030</v>
      </c>
    </row>
    <row r="68" spans="1:5" x14ac:dyDescent="0.25">
      <c r="A68" s="1" t="s">
        <v>145</v>
      </c>
      <c r="B68" t="str">
        <f t="shared" si="4"/>
        <v>Transporte y almacenamiento</v>
      </c>
      <c r="C68" t="str" cm="1">
        <f t="array" ref="C68">ObtenerURL(A68)</f>
        <v>https://www.amazon.es/vine/vine-items?queue=encore&amp;pn=1951051031&amp;cn=3268507030</v>
      </c>
      <c r="D68" t="str">
        <f t="shared" si="5"/>
        <v>1951051031</v>
      </c>
      <c r="E68" t="str">
        <f t="shared" si="6"/>
        <v>3268507030</v>
      </c>
    </row>
    <row r="69" spans="1:5" x14ac:dyDescent="0.25">
      <c r="A69" s="1" t="s">
        <v>146</v>
      </c>
      <c r="B69" t="str">
        <f t="shared" si="4"/>
        <v>Cuidado de coche y moto</v>
      </c>
      <c r="C69" t="str" cm="1">
        <f t="array" ref="C69">ObtenerURL(A69)</f>
        <v>https://www.amazon.es/vine/vine-items?queue=encore&amp;pn=1951051031&amp;cn=3267905030</v>
      </c>
      <c r="D69" t="str">
        <f t="shared" si="5"/>
        <v>1951051031</v>
      </c>
      <c r="E69" t="str">
        <f t="shared" si="6"/>
        <v>3267905030</v>
      </c>
    </row>
    <row r="70" spans="1:5" x14ac:dyDescent="0.25">
      <c r="A70" s="1" t="s">
        <v>147</v>
      </c>
      <c r="B70" t="str">
        <f t="shared" si="4"/>
        <v>Piezas y repuestos para caravanas</v>
      </c>
      <c r="C70" t="str" cm="1">
        <f t="array" ref="C70">ObtenerURL(A70)</f>
        <v>https://www.amazon.es/vine/vine-items?queue=encore&amp;pn=1951051031&amp;cn=3268419030</v>
      </c>
      <c r="D70" t="str">
        <f t="shared" si="5"/>
        <v>1951051031</v>
      </c>
      <c r="E70" t="str">
        <f t="shared" si="6"/>
        <v>3268419030</v>
      </c>
    </row>
    <row r="71" spans="1:5" x14ac:dyDescent="0.25">
      <c r="A71" s="1" t="s">
        <v>148</v>
      </c>
      <c r="B71" t="str">
        <f t="shared" si="4"/>
        <v>Coche y moto</v>
      </c>
      <c r="C71" t="str" cm="1">
        <f t="array" ref="C71">ObtenerURL(A71)</f>
        <v>https://www.amazon.es/vine/vine-items?queue=encore&amp;pn=1951051031&amp;cn=1951051031</v>
      </c>
      <c r="D71" t="str">
        <f t="shared" si="5"/>
        <v>1951051031</v>
      </c>
      <c r="E71" t="str">
        <f t="shared" si="6"/>
        <v>1951051031</v>
      </c>
    </row>
    <row r="72" spans="1:5" ht="30" x14ac:dyDescent="0.25">
      <c r="A72" s="1" t="s">
        <v>149</v>
      </c>
      <c r="B72" t="str">
        <f t="shared" si="4"/>
        <v>Piezas y equipo de vehículos agrícolas</v>
      </c>
      <c r="C72" t="str" cm="1">
        <f t="array" ref="C72">ObtenerURL(A72)</f>
        <v>https://www.amazon.es/vine/vine-items?queue=encore&amp;pn=1951051031&amp;cn=17480980030</v>
      </c>
      <c r="D72" t="str">
        <f t="shared" si="5"/>
        <v>1951051031</v>
      </c>
      <c r="E72" t="str">
        <f t="shared" si="6"/>
        <v>17480980030</v>
      </c>
    </row>
    <row r="73" spans="1:5" x14ac:dyDescent="0.25">
      <c r="C73" t="str" cm="1">
        <f t="array" ref="C73">ObtenerURL(A73)</f>
        <v/>
      </c>
      <c r="D73" t="str">
        <f t="shared" si="5"/>
        <v/>
      </c>
      <c r="E73" t="str">
        <f t="shared" si="6"/>
        <v/>
      </c>
    </row>
    <row r="74" spans="1:5" x14ac:dyDescent="0.25">
      <c r="A74" s="2" t="s">
        <v>160</v>
      </c>
      <c r="B74" t="str">
        <f t="shared" si="4"/>
        <v>Moda</v>
      </c>
      <c r="C74" t="str" cm="1">
        <f t="array" ref="C74">ObtenerURL(A74)</f>
        <v>https://www.amazon.es/vine/vine-items?queue=encore&amp;pn=5512276031</v>
      </c>
      <c r="D74" t="str">
        <f t="shared" si="5"/>
        <v>5512276031</v>
      </c>
      <c r="E74" t="str">
        <f t="shared" si="6"/>
        <v/>
      </c>
    </row>
    <row r="75" spans="1:5" x14ac:dyDescent="0.25">
      <c r="A75" s="1" t="s">
        <v>161</v>
      </c>
      <c r="B75" t="str">
        <f t="shared" si="4"/>
        <v>Equipaje y accesorios de viaje</v>
      </c>
      <c r="C75" t="str" cm="1">
        <f t="array" ref="C75">ObtenerURL(A75)</f>
        <v>https://www.amazon.es/vine/vine-items?queue=encore&amp;pn=5512276031&amp;cn=14230295030</v>
      </c>
      <c r="D75" t="str">
        <f t="shared" si="5"/>
        <v>5512276031</v>
      </c>
      <c r="E75" t="str">
        <f t="shared" si="6"/>
        <v>14230295030</v>
      </c>
    </row>
    <row r="76" spans="1:5" x14ac:dyDescent="0.25">
      <c r="A76" s="1" t="s">
        <v>162</v>
      </c>
      <c r="B76" t="str">
        <f t="shared" si="4"/>
        <v>Mujer</v>
      </c>
      <c r="C76" t="str" cm="1">
        <f t="array" ref="C76">ObtenerURL(A76)</f>
        <v>https://www.amazon.es/vine/vine-items?queue=encore&amp;pn=5512276031&amp;cn=6493352030</v>
      </c>
      <c r="D76" t="str">
        <f t="shared" si="5"/>
        <v>5512276031</v>
      </c>
      <c r="E76" t="str">
        <f t="shared" si="6"/>
        <v>6493352030</v>
      </c>
    </row>
    <row r="77" spans="1:5" x14ac:dyDescent="0.25">
      <c r="A77" s="1" t="s">
        <v>163</v>
      </c>
      <c r="B77" t="str">
        <f t="shared" si="4"/>
        <v>Hombre</v>
      </c>
      <c r="C77" t="str" cm="1">
        <f t="array" ref="C77">ObtenerURL(A77)</f>
        <v>https://www.amazon.es/vine/vine-items?queue=encore&amp;pn=5512276031&amp;cn=6493349030</v>
      </c>
      <c r="D77" t="str">
        <f t="shared" si="5"/>
        <v>5512276031</v>
      </c>
      <c r="E77" t="str">
        <f t="shared" si="6"/>
        <v>6493349030</v>
      </c>
    </row>
    <row r="78" spans="1:5" ht="30" x14ac:dyDescent="0.25">
      <c r="A78" s="1" t="s">
        <v>164</v>
      </c>
      <c r="B78" t="str">
        <f t="shared" si="4"/>
        <v>Accesorios para calzado, relojes y joyería</v>
      </c>
      <c r="C78" t="str" cm="1">
        <f t="array" ref="C78">ObtenerURL(A78)</f>
        <v>https://www.amazon.es/vine/vine-items?queue=encore&amp;pn=5512276031&amp;cn=13911558030</v>
      </c>
      <c r="D78" t="str">
        <f t="shared" si="5"/>
        <v>5512276031</v>
      </c>
      <c r="E78" t="str">
        <f t="shared" si="6"/>
        <v>13911558030</v>
      </c>
    </row>
    <row r="79" spans="1:5" x14ac:dyDescent="0.25">
      <c r="A79" s="1" t="s">
        <v>165</v>
      </c>
      <c r="B79" t="str">
        <f t="shared" si="4"/>
        <v>Ropa divertida y de uso especial</v>
      </c>
      <c r="C79" t="str" cm="1">
        <f t="array" ref="C79">ObtenerURL(A79)</f>
        <v>https://www.amazon.es/vine/vine-items?queue=encore&amp;pn=5512276031&amp;cn=3948711030</v>
      </c>
      <c r="D79" t="str">
        <f t="shared" si="5"/>
        <v>5512276031</v>
      </c>
      <c r="E79" t="str">
        <f t="shared" si="6"/>
        <v>3948711030</v>
      </c>
    </row>
    <row r="80" spans="1:5" x14ac:dyDescent="0.25">
      <c r="A80" s="1" t="s">
        <v>166</v>
      </c>
      <c r="B80" t="str">
        <f t="shared" si="4"/>
        <v>Niña</v>
      </c>
      <c r="C80" t="str" cm="1">
        <f t="array" ref="C80">ObtenerURL(A80)</f>
        <v>https://www.amazon.es/vine/vine-items?queue=encore&amp;pn=5512276031&amp;cn=6495004030</v>
      </c>
      <c r="D80" t="str">
        <f t="shared" si="5"/>
        <v>5512276031</v>
      </c>
      <c r="E80" t="str">
        <f t="shared" si="6"/>
        <v>6495004030</v>
      </c>
    </row>
    <row r="81" spans="1:5" x14ac:dyDescent="0.25">
      <c r="A81" s="1" t="s">
        <v>167</v>
      </c>
      <c r="B81" t="str">
        <f t="shared" si="4"/>
        <v>Bisutería barata</v>
      </c>
      <c r="C81" t="str" cm="1">
        <f t="array" ref="C81">ObtenerURL(A81)</f>
        <v>https://www.amazon.es/vine/vine-items?queue=encore&amp;pn=5512276031&amp;cn=6866506030</v>
      </c>
      <c r="D81" t="str">
        <f t="shared" si="5"/>
        <v>5512276031</v>
      </c>
      <c r="E81" t="str">
        <f t="shared" si="6"/>
        <v>6866506030</v>
      </c>
    </row>
    <row r="82" spans="1:5" x14ac:dyDescent="0.25">
      <c r="A82" s="1" t="s">
        <v>168</v>
      </c>
      <c r="B82" t="str">
        <f t="shared" si="4"/>
        <v>Niño</v>
      </c>
      <c r="C82" t="str" cm="1">
        <f t="array" ref="C82">ObtenerURL(A82)</f>
        <v>https://www.amazon.es/vine/vine-items?queue=encore&amp;pn=5512276031&amp;cn=6495007030</v>
      </c>
      <c r="D82" t="str">
        <f t="shared" si="5"/>
        <v>5512276031</v>
      </c>
      <c r="E82" t="str">
        <f t="shared" si="6"/>
        <v>6495007030</v>
      </c>
    </row>
    <row r="83" spans="1:5" x14ac:dyDescent="0.25">
      <c r="A83" s="1" t="s">
        <v>169</v>
      </c>
      <c r="B83" t="str">
        <f t="shared" si="4"/>
        <v>Bebé</v>
      </c>
      <c r="C83" t="str" cm="1">
        <f t="array" ref="C83">ObtenerURL(A83)</f>
        <v>https://www.amazon.es/vine/vine-items?queue=encore&amp;pn=5512276031&amp;cn=6495010030</v>
      </c>
      <c r="D83" t="str">
        <f t="shared" si="5"/>
        <v>5512276031</v>
      </c>
      <c r="E83" t="str">
        <f t="shared" si="6"/>
        <v>6495010030</v>
      </c>
    </row>
    <row r="84" spans="1:5" x14ac:dyDescent="0.25">
      <c r="A84" s="1" t="s">
        <v>170</v>
      </c>
      <c r="B84" t="str">
        <f t="shared" si="4"/>
        <v>Ropa específica deportiva</v>
      </c>
      <c r="C84" t="str" cm="1">
        <f t="array" ref="C84">ObtenerURL(A84)</f>
        <v>https://www.amazon.es/vine/vine-items?queue=encore&amp;pn=5512276031&amp;cn=30169515030</v>
      </c>
      <c r="D84" t="str">
        <f t="shared" si="5"/>
        <v>5512276031</v>
      </c>
      <c r="E84" t="str">
        <f t="shared" si="6"/>
        <v>30169515030</v>
      </c>
    </row>
    <row r="85" spans="1:5" x14ac:dyDescent="0.25">
      <c r="C85" t="str" cm="1">
        <f t="array" ref="C85">ObtenerURL(A85)</f>
        <v/>
      </c>
      <c r="D85" t="str">
        <f t="shared" si="5"/>
        <v/>
      </c>
      <c r="E85" t="str">
        <f t="shared" si="6"/>
        <v/>
      </c>
    </row>
    <row r="86" spans="1:5" x14ac:dyDescent="0.25">
      <c r="A86" s="2" t="s">
        <v>180</v>
      </c>
      <c r="B86" t="str">
        <f t="shared" si="4"/>
        <v>Deportes y aire libre</v>
      </c>
      <c r="C86" t="str" cm="1">
        <f t="array" ref="C86">ObtenerURL(A86)</f>
        <v>https://www.amazon.es/vine/vine-items?queue=encore&amp;pn=2454136031</v>
      </c>
      <c r="D86" t="str">
        <f t="shared" si="5"/>
        <v>2454136031</v>
      </c>
      <c r="E86" t="str">
        <f t="shared" si="6"/>
        <v/>
      </c>
    </row>
    <row r="87" spans="1:5" x14ac:dyDescent="0.25">
      <c r="A87" s="1" t="s">
        <v>181</v>
      </c>
      <c r="B87" t="str">
        <f t="shared" si="4"/>
        <v>Deportes</v>
      </c>
      <c r="C87" t="str" cm="1">
        <f t="array" ref="C87">ObtenerURL(A87)</f>
        <v>https://www.amazon.es/vine/vine-items?queue=encore&amp;pn=2454136031&amp;cn=29102967030</v>
      </c>
      <c r="D87" t="str">
        <f t="shared" si="5"/>
        <v>2454136031</v>
      </c>
      <c r="E87" t="str">
        <f t="shared" si="6"/>
        <v>29102967030</v>
      </c>
    </row>
    <row r="88" spans="1:5" x14ac:dyDescent="0.25">
      <c r="A88" s="1" t="s">
        <v>182</v>
      </c>
      <c r="B88" t="str">
        <f t="shared" si="4"/>
        <v>Electrónica y dispositivos</v>
      </c>
      <c r="C88" t="str" cm="1">
        <f t="array" ref="C88">ObtenerURL(A88)</f>
        <v>https://www.amazon.es/vine/vine-items?queue=encore&amp;pn=2454136031&amp;cn=3794299030</v>
      </c>
      <c r="D88" t="str">
        <f t="shared" si="5"/>
        <v>2454136031</v>
      </c>
      <c r="E88" t="str">
        <f t="shared" si="6"/>
        <v>3794299030</v>
      </c>
    </row>
    <row r="89" spans="1:5" x14ac:dyDescent="0.25">
      <c r="A89" s="1" t="s">
        <v>183</v>
      </c>
      <c r="B89" t="str">
        <f t="shared" si="4"/>
        <v>Ocio al aire libre</v>
      </c>
      <c r="C89" t="str" cm="1">
        <f t="array" ref="C89">ObtenerURL(A89)</f>
        <v>https://www.amazon.es/vine/vine-items?queue=encore&amp;pn=2454136031&amp;cn=29102966030</v>
      </c>
      <c r="D89" t="str">
        <f t="shared" si="5"/>
        <v>2454136031</v>
      </c>
      <c r="E89" t="str">
        <f t="shared" si="6"/>
        <v>29102966030</v>
      </c>
    </row>
    <row r="90" spans="1:5" x14ac:dyDescent="0.25">
      <c r="A90" s="1" t="s">
        <v>184</v>
      </c>
      <c r="B90" t="str">
        <f t="shared" si="4"/>
        <v>Fitness y ejercicio</v>
      </c>
      <c r="C90" t="str" cm="1">
        <f t="array" ref="C90">ObtenerURL(A90)</f>
        <v>https://www.amazon.es/vine/vine-items?queue=encore&amp;pn=2454136031&amp;cn=3794298030</v>
      </c>
      <c r="D90" t="str">
        <f t="shared" si="5"/>
        <v>2454136031</v>
      </c>
      <c r="E90" t="str">
        <f t="shared" si="6"/>
        <v>3794298030</v>
      </c>
    </row>
    <row r="91" spans="1:5" x14ac:dyDescent="0.25">
      <c r="A91" s="1" t="s">
        <v>185</v>
      </c>
      <c r="B91" t="str">
        <f t="shared" si="4"/>
        <v>Caza y pesca</v>
      </c>
      <c r="C91" t="str" cm="1">
        <f t="array" ref="C91">ObtenerURL(A91)</f>
        <v>https://www.amazon.es/vine/vine-items?queue=encore&amp;pn=2454136031&amp;cn=29102965030</v>
      </c>
      <c r="D91" t="str">
        <f t="shared" si="5"/>
        <v>2454136031</v>
      </c>
      <c r="E91" t="str">
        <f t="shared" si="6"/>
        <v>29102965030</v>
      </c>
    </row>
    <row r="92" spans="1:5" x14ac:dyDescent="0.25">
      <c r="A92" s="1" t="s">
        <v>186</v>
      </c>
      <c r="B92" t="str">
        <f t="shared" si="4"/>
        <v>Productos para fans</v>
      </c>
      <c r="C92" t="str" cm="1">
        <f t="array" ref="C92">ObtenerURL(A92)</f>
        <v>https://www.amazon.es/vine/vine-items?queue=encore&amp;pn=2454136031&amp;cn=3794320030</v>
      </c>
      <c r="D92" t="str">
        <f t="shared" si="5"/>
        <v>2454136031</v>
      </c>
      <c r="E92" t="str">
        <f t="shared" si="6"/>
        <v>3794320030</v>
      </c>
    </row>
    <row r="93" spans="1:5" ht="30" x14ac:dyDescent="0.25">
      <c r="A93" s="1" t="s">
        <v>187</v>
      </c>
      <c r="B93" t="str">
        <f t="shared" si="4"/>
        <v>Accesorios para deportes y ocio al aire libre</v>
      </c>
      <c r="C93" t="str" cm="1">
        <f t="array" ref="C93">ObtenerURL(A93)</f>
        <v>https://www.amazon.es/vine/vine-items?queue=encore&amp;pn=2454136031&amp;cn=29102968030</v>
      </c>
      <c r="D93" t="str">
        <f t="shared" si="5"/>
        <v>2454136031</v>
      </c>
      <c r="E93" t="str">
        <f t="shared" si="6"/>
        <v>29102968030</v>
      </c>
    </row>
    <row r="94" spans="1:5" x14ac:dyDescent="0.25">
      <c r="A94" s="1" t="s">
        <v>188</v>
      </c>
      <c r="B94" t="str">
        <f t="shared" ref="B94:B157" si="7">TRIM(LEFT(A94,FIND("(",A94)-2))</f>
        <v>Ropa deportiva</v>
      </c>
      <c r="C94" t="str" cm="1">
        <f t="array" ref="C94">ObtenerURL(A94)</f>
        <v>https://www.amazon.es/vine/vine-items?queue=encore&amp;pn=2454136031&amp;cn=3794324030</v>
      </c>
      <c r="D94" t="str">
        <f t="shared" si="5"/>
        <v>2454136031</v>
      </c>
      <c r="E94" t="str">
        <f t="shared" si="6"/>
        <v>3794324030</v>
      </c>
    </row>
    <row r="95" spans="1:5" x14ac:dyDescent="0.25">
      <c r="A95" s="1" t="s">
        <v>189</v>
      </c>
      <c r="B95" t="str">
        <f t="shared" si="7"/>
        <v>Deportes y aire libre</v>
      </c>
      <c r="C95" t="str" cm="1">
        <f t="array" ref="C95">ObtenerURL(A95)</f>
        <v>https://www.amazon.es/vine/vine-items?queue=encore&amp;pn=2454136031&amp;cn=2454136031</v>
      </c>
      <c r="D95" t="str">
        <f t="shared" si="5"/>
        <v>2454136031</v>
      </c>
      <c r="E95" t="str">
        <f t="shared" si="6"/>
        <v>2454136031</v>
      </c>
    </row>
    <row r="96" spans="1:5" x14ac:dyDescent="0.25">
      <c r="C96" t="str" cm="1">
        <f t="array" ref="C96">ObtenerURL(A96)</f>
        <v/>
      </c>
      <c r="D96" t="str">
        <f t="shared" si="5"/>
        <v/>
      </c>
      <c r="E96" t="str">
        <f t="shared" si="6"/>
        <v/>
      </c>
    </row>
    <row r="97" spans="1:5" x14ac:dyDescent="0.25">
      <c r="A97" s="2" t="s">
        <v>10</v>
      </c>
      <c r="B97" t="str">
        <f t="shared" si="7"/>
        <v>Industria, empresas y ciencia</v>
      </c>
      <c r="C97" t="str" cm="1">
        <f t="array" ref="C97">ObtenerURL(A97)</f>
        <v>https://www.amazon.es/vine/vine-items?queue=encore&amp;pn=5866088031</v>
      </c>
      <c r="D97" t="str">
        <f t="shared" si="5"/>
        <v>5866088031</v>
      </c>
      <c r="E97" t="str">
        <f t="shared" si="6"/>
        <v/>
      </c>
    </row>
    <row r="98" spans="1:5" ht="30" x14ac:dyDescent="0.25">
      <c r="A98" s="1" t="s">
        <v>190</v>
      </c>
      <c r="B98" t="str">
        <f t="shared" si="7"/>
        <v>Hidráulica, neumática y fontanería</v>
      </c>
      <c r="C98" t="str" cm="1">
        <f t="array" ref="C98">ObtenerURL(A98)</f>
        <v>https://www.amazon.es/vine/vine-items?queue=encore&amp;pn=5866088031&amp;cn=7309795030</v>
      </c>
      <c r="D98" t="str">
        <f t="shared" si="5"/>
        <v>5866088031</v>
      </c>
      <c r="E98" t="str">
        <f t="shared" si="6"/>
        <v>7309795030</v>
      </c>
    </row>
    <row r="99" spans="1:5" x14ac:dyDescent="0.25">
      <c r="A99" s="1" t="s">
        <v>191</v>
      </c>
      <c r="B99" t="str">
        <f t="shared" si="7"/>
        <v>Energía solar y eólica</v>
      </c>
      <c r="C99" t="str" cm="1">
        <f t="array" ref="C99">ObtenerURL(A99)</f>
        <v>https://www.amazon.es/vine/vine-items?queue=encore&amp;pn=5866088031&amp;cn=16626319030</v>
      </c>
      <c r="D99" t="str">
        <f t="shared" si="5"/>
        <v>5866088031</v>
      </c>
      <c r="E99" t="str">
        <f t="shared" si="6"/>
        <v>16626319030</v>
      </c>
    </row>
    <row r="100" spans="1:5" x14ac:dyDescent="0.25">
      <c r="A100" s="1" t="s">
        <v>192</v>
      </c>
      <c r="B100" t="str">
        <f t="shared" si="7"/>
        <v>Eléctrica industrial</v>
      </c>
      <c r="C100" t="str" cm="1">
        <f t="array" ref="C100">ObtenerURL(A100)</f>
        <v>https://www.amazon.es/vine/vine-items?queue=encore&amp;pn=5866088031&amp;cn=11607087030</v>
      </c>
      <c r="D100" t="str">
        <f t="shared" si="5"/>
        <v>5866088031</v>
      </c>
      <c r="E100" t="str">
        <f t="shared" si="6"/>
        <v>11607087030</v>
      </c>
    </row>
    <row r="101" spans="1:5" ht="30" x14ac:dyDescent="0.25">
      <c r="A101" s="1" t="s">
        <v>193</v>
      </c>
      <c r="B101" t="str">
        <f t="shared" si="7"/>
        <v>Artículos y equipo de servicio para la restauración</v>
      </c>
      <c r="C101" t="str" cm="1">
        <f t="array" ref="C101">ObtenerURL(A101)</f>
        <v>https://www.amazon.es/vine/vine-items?queue=encore&amp;pn=5866088031&amp;cn=11606829030</v>
      </c>
      <c r="D101" t="str">
        <f t="shared" si="5"/>
        <v>5866088031</v>
      </c>
      <c r="E101" t="str">
        <f t="shared" si="6"/>
        <v>11606829030</v>
      </c>
    </row>
    <row r="102" spans="1:5" x14ac:dyDescent="0.25">
      <c r="A102" s="1" t="s">
        <v>194</v>
      </c>
      <c r="B102" t="str">
        <f t="shared" si="7"/>
        <v>Test y medición</v>
      </c>
      <c r="C102" t="str" cm="1">
        <f t="array" ref="C102">ObtenerURL(A102)</f>
        <v>https://www.amazon.es/vine/vine-items?queue=encore&amp;pn=5866088031&amp;cn=7695796030</v>
      </c>
      <c r="D102" t="str">
        <f t="shared" si="5"/>
        <v>5866088031</v>
      </c>
      <c r="E102" t="str">
        <f t="shared" si="6"/>
        <v>7695796030</v>
      </c>
    </row>
    <row r="103" spans="1:5" x14ac:dyDescent="0.25">
      <c r="A103" s="1" t="s">
        <v>195</v>
      </c>
      <c r="B103" t="str">
        <f t="shared" si="7"/>
        <v>Equipos y suministros agrícolas</v>
      </c>
      <c r="C103" t="str" cm="1">
        <f t="array" ref="C103">ObtenerURL(A103)</f>
        <v>https://www.amazon.es/vine/vine-items?queue=encore&amp;pn=5866088031&amp;cn=17860901030</v>
      </c>
      <c r="D103" t="str">
        <f t="shared" si="5"/>
        <v>5866088031</v>
      </c>
      <c r="E103" t="str">
        <f t="shared" si="6"/>
        <v>17860901030</v>
      </c>
    </row>
    <row r="104" spans="1:5" x14ac:dyDescent="0.25">
      <c r="A104" s="1" t="s">
        <v>196</v>
      </c>
      <c r="B104" t="str">
        <f t="shared" si="7"/>
        <v>Impresión y escaneo 3D</v>
      </c>
      <c r="C104" t="str" cm="1">
        <f t="array" ref="C104">ObtenerURL(A104)</f>
        <v>https://www.amazon.es/vine/vine-items?queue=encore&amp;pn=5866088031&amp;cn=7695797030</v>
      </c>
      <c r="D104" t="str">
        <f t="shared" si="5"/>
        <v>5866088031</v>
      </c>
      <c r="E104" t="str">
        <f t="shared" si="6"/>
        <v>7695797030</v>
      </c>
    </row>
    <row r="105" spans="1:5" ht="30" x14ac:dyDescent="0.25">
      <c r="A105" s="1" t="s">
        <v>197</v>
      </c>
      <c r="B105" t="str">
        <f t="shared" si="7"/>
        <v>Productos de laboratorio y ciencias</v>
      </c>
      <c r="C105" t="str" cm="1">
        <f t="array" ref="C105">ObtenerURL(A105)</f>
        <v>https://www.amazon.es/vine/vine-items?queue=encore&amp;pn=5866088031&amp;cn=7695798030</v>
      </c>
      <c r="D105" t="str">
        <f t="shared" si="5"/>
        <v>5866088031</v>
      </c>
      <c r="E105" t="str">
        <f t="shared" si="6"/>
        <v>7695798030</v>
      </c>
    </row>
    <row r="106" spans="1:5" ht="30" x14ac:dyDescent="0.25">
      <c r="A106" s="1" t="s">
        <v>198</v>
      </c>
      <c r="B106" t="str">
        <f t="shared" si="7"/>
        <v>Suministros de limpieza y saneamiento</v>
      </c>
      <c r="C106" t="str" cm="1">
        <f t="array" ref="C106">ObtenerURL(A106)</f>
        <v>https://www.amazon.es/vine/vine-items?queue=encore&amp;pn=5866088031&amp;cn=7695800030</v>
      </c>
      <c r="D106" t="str">
        <f t="shared" si="5"/>
        <v>5866088031</v>
      </c>
      <c r="E106" t="str">
        <f t="shared" si="6"/>
        <v>7695800030</v>
      </c>
    </row>
    <row r="107" spans="1:5" ht="30" x14ac:dyDescent="0.25">
      <c r="A107" s="1" t="s">
        <v>199</v>
      </c>
      <c r="B107" t="str">
        <f t="shared" si="7"/>
        <v>Productos de transmisión de energía</v>
      </c>
      <c r="C107" t="str" cm="1">
        <f t="array" ref="C107">ObtenerURL(A107)</f>
        <v>https://www.amazon.es/vine/vine-items?queue=encore&amp;pn=5866088031&amp;cn=7309800030</v>
      </c>
      <c r="D107" t="str">
        <f t="shared" si="5"/>
        <v>5866088031</v>
      </c>
      <c r="E107" t="str">
        <f t="shared" si="6"/>
        <v>7309800030</v>
      </c>
    </row>
    <row r="108" spans="1:5" x14ac:dyDescent="0.25">
      <c r="A108" s="1" t="s">
        <v>200</v>
      </c>
      <c r="B108" t="str">
        <f t="shared" si="7"/>
        <v>Manutención</v>
      </c>
      <c r="C108" t="str" cm="1">
        <f t="array" ref="C108">ObtenerURL(A108)</f>
        <v>https://www.amazon.es/vine/vine-items?queue=encore&amp;pn=5866088031&amp;cn=7309798030</v>
      </c>
      <c r="D108" t="str">
        <f t="shared" si="5"/>
        <v>5866088031</v>
      </c>
      <c r="E108" t="str">
        <f t="shared" si="6"/>
        <v>7309798030</v>
      </c>
    </row>
    <row r="109" spans="1:5" x14ac:dyDescent="0.25">
      <c r="A109" s="1" t="s">
        <v>201</v>
      </c>
      <c r="B109" t="str">
        <f t="shared" si="7"/>
        <v>Materias primas</v>
      </c>
      <c r="C109" t="str" cm="1">
        <f t="array" ref="C109">ObtenerURL(A109)</f>
        <v>https://www.amazon.es/vine/vine-items?queue=encore&amp;pn=5866088031&amp;cn=7309802030</v>
      </c>
      <c r="D109" t="str">
        <f t="shared" si="5"/>
        <v>5866088031</v>
      </c>
      <c r="E109" t="str">
        <f t="shared" si="6"/>
        <v>7309802030</v>
      </c>
    </row>
    <row r="110" spans="1:5" x14ac:dyDescent="0.25">
      <c r="A110" s="1" t="s">
        <v>202</v>
      </c>
      <c r="B110" t="str">
        <f t="shared" si="7"/>
        <v>Industria, empresas y ciencia</v>
      </c>
      <c r="C110" t="str" cm="1">
        <f t="array" ref="C110">ObtenerURL(A110)</f>
        <v>https://www.amazon.es/vine/vine-items?queue=encore&amp;pn=5866088031&amp;cn=5866088031</v>
      </c>
      <c r="D110" t="str">
        <f t="shared" si="5"/>
        <v>5866088031</v>
      </c>
      <c r="E110" t="str">
        <f t="shared" si="6"/>
        <v>5866088031</v>
      </c>
    </row>
    <row r="111" spans="1:5" ht="30" x14ac:dyDescent="0.25">
      <c r="A111" s="1" t="s">
        <v>203</v>
      </c>
      <c r="B111" t="str">
        <f t="shared" si="7"/>
        <v>Suministros de empaquetado y envío</v>
      </c>
      <c r="C111" t="str" cm="1">
        <f t="array" ref="C111">ObtenerURL(A111)</f>
        <v>https://www.amazon.es/vine/vine-items?queue=encore&amp;pn=5866088031&amp;cn=7309799030</v>
      </c>
      <c r="D111" t="str">
        <f t="shared" si="5"/>
        <v>5866088031</v>
      </c>
      <c r="E111" t="str">
        <f t="shared" si="6"/>
        <v>7309799030</v>
      </c>
    </row>
    <row r="112" spans="1:5" x14ac:dyDescent="0.25">
      <c r="A112" s="1" t="s">
        <v>204</v>
      </c>
      <c r="B112" t="str">
        <f t="shared" si="7"/>
        <v>Productos abrasivos y de acabado</v>
      </c>
      <c r="C112" t="str" cm="1">
        <f t="array" ref="C112">ObtenerURL(A112)</f>
        <v>https://www.amazon.es/vine/vine-items?queue=encore&amp;pn=5866088031&amp;cn=7309790030</v>
      </c>
      <c r="D112" t="str">
        <f t="shared" si="5"/>
        <v>5866088031</v>
      </c>
      <c r="E112" t="str">
        <f t="shared" si="6"/>
        <v>7309790030</v>
      </c>
    </row>
    <row r="113" spans="1:5" ht="30" x14ac:dyDescent="0.25">
      <c r="A113" s="1" t="s">
        <v>205</v>
      </c>
      <c r="B113" t="str">
        <f t="shared" si="7"/>
        <v>Herramientas eléctricas y de mano</v>
      </c>
      <c r="C113" t="str" cm="1">
        <f t="array" ref="C113">ObtenerURL(A113)</f>
        <v>https://www.amazon.es/vine/vine-items?queue=encore&amp;pn=5866088031&amp;cn=7695795030</v>
      </c>
      <c r="D113" t="str">
        <f t="shared" si="5"/>
        <v>5866088031</v>
      </c>
      <c r="E113" t="str">
        <f t="shared" si="6"/>
        <v>7695795030</v>
      </c>
    </row>
    <row r="114" spans="1:5" ht="30" x14ac:dyDescent="0.25">
      <c r="A114" s="1" t="s">
        <v>206</v>
      </c>
      <c r="B114" t="str">
        <f t="shared" si="7"/>
        <v>Salud ocupacional y productos de seguridad</v>
      </c>
      <c r="C114" t="str" cm="1">
        <f t="array" ref="C114">ObtenerURL(A114)</f>
        <v>https://www.amazon.es/vine/vine-items?queue=encore&amp;pn=5866088031&amp;cn=7695799030</v>
      </c>
      <c r="D114" t="str">
        <f t="shared" si="5"/>
        <v>5866088031</v>
      </c>
      <c r="E114" t="str">
        <f t="shared" si="6"/>
        <v>7695799030</v>
      </c>
    </row>
    <row r="115" spans="1:5" ht="30" x14ac:dyDescent="0.25">
      <c r="A115" s="1" t="s">
        <v>207</v>
      </c>
      <c r="B115" t="str">
        <f t="shared" si="7"/>
        <v>Suministros médicos profesionales</v>
      </c>
      <c r="C115" t="str" cm="1">
        <f t="array" ref="C115">ObtenerURL(A115)</f>
        <v>https://www.amazon.es/vine/vine-items?queue=encore&amp;pn=5866088031&amp;cn=7695801030</v>
      </c>
      <c r="D115" t="str">
        <f t="shared" si="5"/>
        <v>5866088031</v>
      </c>
      <c r="E115" t="str">
        <f t="shared" si="6"/>
        <v>7695801030</v>
      </c>
    </row>
    <row r="116" spans="1:5" x14ac:dyDescent="0.25">
      <c r="C116" t="str" cm="1">
        <f t="array" ref="C116">ObtenerURL(A116)</f>
        <v/>
      </c>
      <c r="D116" t="str">
        <f t="shared" si="5"/>
        <v/>
      </c>
      <c r="E116" t="str">
        <f t="shared" si="6"/>
        <v/>
      </c>
    </row>
    <row r="117" spans="1:5" x14ac:dyDescent="0.25">
      <c r="A117" s="2" t="s">
        <v>11</v>
      </c>
      <c r="B117" t="str">
        <f t="shared" si="7"/>
        <v>Jardín</v>
      </c>
      <c r="C117" t="str" cm="1">
        <f t="array" ref="C117">ObtenerURL(A117)</f>
        <v>https://www.amazon.es/vine/vine-items?queue=encore&amp;pn=1571259031</v>
      </c>
      <c r="D117" t="str">
        <f t="shared" si="5"/>
        <v>1571259031</v>
      </c>
      <c r="E117" t="str">
        <f t="shared" si="6"/>
        <v/>
      </c>
    </row>
    <row r="118" spans="1:5" ht="30" x14ac:dyDescent="0.25">
      <c r="A118" s="1" t="s">
        <v>208</v>
      </c>
      <c r="B118" t="str">
        <f t="shared" si="7"/>
        <v>Cortacéspedes y herramientas eléctricas para exteriores</v>
      </c>
      <c r="C118" t="str" cm="1">
        <f t="array" ref="C118">ObtenerURL(A118)</f>
        <v>https://www.amazon.es/vine/vine-items?queue=encore&amp;pn=1571259031&amp;cn=6933299030</v>
      </c>
      <c r="D118" t="str">
        <f t="shared" si="5"/>
        <v>1571259031</v>
      </c>
      <c r="E118" t="str">
        <f t="shared" si="6"/>
        <v>6933299030</v>
      </c>
    </row>
    <row r="119" spans="1:5" x14ac:dyDescent="0.25">
      <c r="A119" s="1" t="s">
        <v>209</v>
      </c>
      <c r="B119" t="str">
        <f t="shared" si="7"/>
        <v>Jardinería</v>
      </c>
      <c r="C119" t="str" cm="1">
        <f t="array" ref="C119">ObtenerURL(A119)</f>
        <v>https://www.amazon.es/vine/vine-items?queue=encore&amp;pn=1571259031&amp;cn=6933545030</v>
      </c>
      <c r="D119" t="str">
        <f t="shared" si="5"/>
        <v>1571259031</v>
      </c>
      <c r="E119" t="str">
        <f t="shared" si="6"/>
        <v>6933545030</v>
      </c>
    </row>
    <row r="120" spans="1:5" ht="30" x14ac:dyDescent="0.25">
      <c r="A120" s="1" t="s">
        <v>210</v>
      </c>
      <c r="B120" t="str">
        <f t="shared" si="7"/>
        <v>Piscinas, bañeras de hidromasaje y suministros</v>
      </c>
      <c r="C120" t="str" cm="1">
        <f t="array" ref="C120">ObtenerURL(A120)</f>
        <v>https://www.amazon.es/vine/vine-items?queue=encore&amp;pn=1571259031&amp;cn=6933839030</v>
      </c>
      <c r="D120" t="str">
        <f t="shared" si="5"/>
        <v>1571259031</v>
      </c>
      <c r="E120" t="str">
        <f t="shared" si="6"/>
        <v>6933839030</v>
      </c>
    </row>
    <row r="121" spans="1:5" x14ac:dyDescent="0.25">
      <c r="A121" s="1" t="s">
        <v>211</v>
      </c>
      <c r="B121" t="str">
        <f t="shared" si="7"/>
        <v>Barbacoa y comedor al aire libre</v>
      </c>
      <c r="C121" t="str" cm="1">
        <f t="array" ref="C121">ObtenerURL(A121)</f>
        <v>https://www.amazon.es/vine/vine-items?queue=encore&amp;pn=1571259031&amp;cn=6933219030</v>
      </c>
      <c r="D121" t="str">
        <f t="shared" si="5"/>
        <v>1571259031</v>
      </c>
      <c r="E121" t="str">
        <f t="shared" si="6"/>
        <v>6933219030</v>
      </c>
    </row>
    <row r="122" spans="1:5" x14ac:dyDescent="0.25">
      <c r="A122" s="1" t="s">
        <v>212</v>
      </c>
      <c r="B122" t="str">
        <f t="shared" si="7"/>
        <v>Decoración de exterior</v>
      </c>
      <c r="C122" t="str" cm="1">
        <f t="array" ref="C122">ObtenerURL(A122)</f>
        <v>https://www.amazon.es/vine/vine-items?queue=encore&amp;pn=1571259031&amp;cn=6933479030</v>
      </c>
      <c r="D122" t="str">
        <f t="shared" si="5"/>
        <v>1571259031</v>
      </c>
      <c r="E122" t="str">
        <f t="shared" si="6"/>
        <v>6933479030</v>
      </c>
    </row>
    <row r="123" spans="1:5" x14ac:dyDescent="0.25">
      <c r="A123" s="1" t="s">
        <v>213</v>
      </c>
      <c r="B123" t="str">
        <f t="shared" si="7"/>
        <v>Muebles y accesorios de jardín</v>
      </c>
      <c r="C123" t="str" cm="1">
        <f t="array" ref="C123">ObtenerURL(A123)</f>
        <v>https://www.amazon.es/vine/vine-items?queue=encore&amp;pn=1571259031&amp;cn=6933766030</v>
      </c>
      <c r="D123" t="str">
        <f t="shared" si="5"/>
        <v>1571259031</v>
      </c>
      <c r="E123" t="str">
        <f t="shared" si="6"/>
        <v>6933766030</v>
      </c>
    </row>
    <row r="124" spans="1:5" ht="30" x14ac:dyDescent="0.25">
      <c r="A124" s="1" t="s">
        <v>214</v>
      </c>
      <c r="B124" t="str">
        <f t="shared" si="7"/>
        <v>Herramientas de jardinería y equipos de riego</v>
      </c>
      <c r="C124" t="str" cm="1">
        <f t="array" ref="C124">ObtenerURL(A124)</f>
        <v>https://www.amazon.es/vine/vine-items?queue=encore&amp;pn=1571259031&amp;cn=29481163030</v>
      </c>
      <c r="D124" t="str">
        <f t="shared" si="5"/>
        <v>1571259031</v>
      </c>
      <c r="E124" t="str">
        <f t="shared" si="6"/>
        <v>29481163030</v>
      </c>
    </row>
    <row r="125" spans="1:5" x14ac:dyDescent="0.25">
      <c r="A125" s="1" t="s">
        <v>215</v>
      </c>
      <c r="B125" t="str">
        <f t="shared" si="7"/>
        <v>Aves y animales de jardín</v>
      </c>
      <c r="C125" t="str" cm="1">
        <f t="array" ref="C125">ObtenerURL(A125)</f>
        <v>https://www.amazon.es/vine/vine-items?queue=encore&amp;pn=1571259031&amp;cn=6933193030</v>
      </c>
      <c r="D125" t="str">
        <f t="shared" si="5"/>
        <v>1571259031</v>
      </c>
      <c r="E125" t="str">
        <f t="shared" si="6"/>
        <v>6933193030</v>
      </c>
    </row>
    <row r="126" spans="1:5" x14ac:dyDescent="0.25">
      <c r="A126" s="1" t="s">
        <v>216</v>
      </c>
      <c r="B126" t="str">
        <f t="shared" si="7"/>
        <v>Cubiertas y vallas</v>
      </c>
      <c r="C126" t="str" cm="1">
        <f t="array" ref="C126">ObtenerURL(A126)</f>
        <v>https://www.amazon.es/vine/vine-items?queue=encore&amp;pn=1571259031&amp;cn=6933953030</v>
      </c>
      <c r="D126" t="str">
        <f t="shared" si="5"/>
        <v>1571259031</v>
      </c>
      <c r="E126" t="str">
        <f t="shared" si="6"/>
        <v>6933953030</v>
      </c>
    </row>
    <row r="127" spans="1:5" x14ac:dyDescent="0.25">
      <c r="C127" t="str" cm="1">
        <f t="array" ref="C127">ObtenerURL(A127)</f>
        <v/>
      </c>
      <c r="D127" t="str">
        <f t="shared" si="5"/>
        <v/>
      </c>
      <c r="E127" t="str">
        <f t="shared" si="6"/>
        <v/>
      </c>
    </row>
    <row r="128" spans="1:5" x14ac:dyDescent="0.25">
      <c r="A128" s="2" t="s">
        <v>12</v>
      </c>
      <c r="B128" t="str">
        <f t="shared" si="7"/>
        <v>Juguetes y juegos</v>
      </c>
      <c r="C128" t="str" cm="1">
        <f t="array" ref="C128">ObtenerURL(A128)</f>
        <v>https://www.amazon.es/vine/vine-items?queue=encore&amp;pn=599385031</v>
      </c>
      <c r="D128" t="str">
        <f t="shared" si="5"/>
        <v>599385031</v>
      </c>
      <c r="E128" t="str">
        <f t="shared" si="6"/>
        <v/>
      </c>
    </row>
    <row r="129" spans="1:5" x14ac:dyDescent="0.25">
      <c r="A129" s="1" t="s">
        <v>217</v>
      </c>
      <c r="B129" t="str">
        <f t="shared" si="7"/>
        <v>Juegos de imitación</v>
      </c>
      <c r="C129" t="str" cm="1">
        <f t="array" ref="C129">ObtenerURL(A129)</f>
        <v>https://www.amazon.es/vine/vine-items?queue=encore&amp;pn=599385031&amp;cn=2407076030</v>
      </c>
      <c r="D129" t="str">
        <f t="shared" si="5"/>
        <v>599385031</v>
      </c>
      <c r="E129" t="str">
        <f t="shared" si="6"/>
        <v>2407076030</v>
      </c>
    </row>
    <row r="130" spans="1:5" x14ac:dyDescent="0.25">
      <c r="A130" s="1" t="s">
        <v>218</v>
      </c>
      <c r="B130" t="str">
        <f t="shared" si="7"/>
        <v>Actividades creativas</v>
      </c>
      <c r="C130" t="str" cm="1">
        <f t="array" ref="C130">ObtenerURL(A130)</f>
        <v>https://www.amazon.es/vine/vine-items?queue=encore&amp;pn=599385031&amp;cn=2406884030</v>
      </c>
      <c r="D130" t="str">
        <f t="shared" si="5"/>
        <v>599385031</v>
      </c>
      <c r="E130" t="str">
        <f t="shared" si="6"/>
        <v>2406884030</v>
      </c>
    </row>
    <row r="131" spans="1:5" x14ac:dyDescent="0.25">
      <c r="A131" s="1" t="s">
        <v>219</v>
      </c>
      <c r="B131" t="str">
        <f t="shared" si="7"/>
        <v>Radiocontrol</v>
      </c>
      <c r="C131" t="str" cm="1">
        <f t="array" ref="C131">ObtenerURL(A131)</f>
        <v>https://www.amazon.es/vine/vine-items?queue=encore&amp;pn=599385031&amp;cn=2407291030</v>
      </c>
      <c r="D131" t="str">
        <f t="shared" ref="D131:D194" si="8">IF(C131="", "", MID(C131, FIND("pn=", C131) + 3, IFERROR(FIND("&amp;", C131, FIND("pn=", C131)) - FIND("pn=", C131) - 3, LEN(C131))))</f>
        <v>599385031</v>
      </c>
      <c r="E131" t="str">
        <f t="shared" ref="E131:E194" si="9">IF(OR(C131="", ISERROR(FIND("cn=", C131))), "", MID(C131, FIND("cn=", C131) + 3, IFERROR(FIND("&amp;", C131, FIND("cn=", C131)) - FIND("cn=", C131) - 3, LEN(C131))))</f>
        <v>2407291030</v>
      </c>
    </row>
    <row r="132" spans="1:5" x14ac:dyDescent="0.25">
      <c r="A132" s="1" t="s">
        <v>220</v>
      </c>
      <c r="B132" t="str">
        <f t="shared" si="7"/>
        <v>Bebés y primera infancia</v>
      </c>
      <c r="C132" t="str" cm="1">
        <f t="array" ref="C132">ObtenerURL(A132)</f>
        <v>https://www.amazon.es/vine/vine-items?queue=encore&amp;pn=599385031&amp;cn=2407258030</v>
      </c>
      <c r="D132" t="str">
        <f t="shared" si="8"/>
        <v>599385031</v>
      </c>
      <c r="E132" t="str">
        <f t="shared" si="9"/>
        <v>2407258030</v>
      </c>
    </row>
    <row r="133" spans="1:5" x14ac:dyDescent="0.25">
      <c r="A133" s="1" t="s">
        <v>221</v>
      </c>
      <c r="B133" t="str">
        <f t="shared" si="7"/>
        <v>Aire libre y deportes</v>
      </c>
      <c r="C133" t="str" cm="1">
        <f t="array" ref="C133">ObtenerURL(A133)</f>
        <v>https://www.amazon.es/vine/vine-items?queue=encore&amp;pn=599385031&amp;cn=2406927030</v>
      </c>
      <c r="D133" t="str">
        <f t="shared" si="8"/>
        <v>599385031</v>
      </c>
      <c r="E133" t="str">
        <f t="shared" si="9"/>
        <v>2406927030</v>
      </c>
    </row>
    <row r="134" spans="1:5" x14ac:dyDescent="0.25">
      <c r="A134" s="1" t="s">
        <v>222</v>
      </c>
      <c r="B134" t="str">
        <f t="shared" si="7"/>
        <v>Regalos originales y de broma</v>
      </c>
      <c r="C134" t="str" cm="1">
        <f t="array" ref="C134">ObtenerURL(A134)</f>
        <v>https://www.amazon.es/vine/vine-items?queue=encore&amp;pn=599385031&amp;cn=2406990030</v>
      </c>
      <c r="D134" t="str">
        <f t="shared" si="8"/>
        <v>599385031</v>
      </c>
      <c r="E134" t="str">
        <f t="shared" si="9"/>
        <v>2406990030</v>
      </c>
    </row>
    <row r="135" spans="1:5" x14ac:dyDescent="0.25">
      <c r="A135" s="1" t="s">
        <v>223</v>
      </c>
      <c r="B135" t="str">
        <f t="shared" si="7"/>
        <v>Coleccionables</v>
      </c>
      <c r="C135" t="str" cm="1">
        <f t="array" ref="C135">ObtenerURL(A135)</f>
        <v>https://www.amazon.es/vine/vine-items?queue=encore&amp;pn=599385031&amp;cn=2407026030</v>
      </c>
      <c r="D135" t="str">
        <f t="shared" si="8"/>
        <v>599385031</v>
      </c>
      <c r="E135" t="str">
        <f t="shared" si="9"/>
        <v>2407026030</v>
      </c>
    </row>
    <row r="136" spans="1:5" x14ac:dyDescent="0.25">
      <c r="A136" s="1" t="s">
        <v>224</v>
      </c>
      <c r="B136" t="str">
        <f t="shared" si="7"/>
        <v>Muñecas y accesorios</v>
      </c>
      <c r="C136" t="str" cm="1">
        <f t="array" ref="C136">ObtenerURL(A136)</f>
        <v>https://www.amazon.es/vine/vine-items?queue=encore&amp;pn=599385031&amp;cn=2407232030</v>
      </c>
      <c r="D136" t="str">
        <f t="shared" si="8"/>
        <v>599385031</v>
      </c>
      <c r="E136" t="str">
        <f t="shared" si="9"/>
        <v>2407232030</v>
      </c>
    </row>
    <row r="137" spans="1:5" x14ac:dyDescent="0.25">
      <c r="A137" s="1" t="s">
        <v>225</v>
      </c>
      <c r="B137" t="str">
        <f t="shared" si="7"/>
        <v>Puzzles y rompecabezas</v>
      </c>
      <c r="C137" t="str" cm="1">
        <f t="array" ref="C137">ObtenerURL(A137)</f>
        <v>https://www.amazon.es/vine/vine-items?queue=encore&amp;pn=599385031&amp;cn=2407281030</v>
      </c>
      <c r="D137" t="str">
        <f t="shared" si="8"/>
        <v>599385031</v>
      </c>
      <c r="E137" t="str">
        <f t="shared" si="9"/>
        <v>2407281030</v>
      </c>
    </row>
    <row r="138" spans="1:5" x14ac:dyDescent="0.25">
      <c r="A138" s="1" t="s">
        <v>226</v>
      </c>
      <c r="B138" t="str">
        <f t="shared" si="7"/>
        <v>Aprendizaje y educación</v>
      </c>
      <c r="C138" t="str" cm="1">
        <f t="array" ref="C138">ObtenerURL(A138)</f>
        <v>https://www.amazon.es/vine/vine-items?queue=encore&amp;pn=599385031&amp;cn=2407120030</v>
      </c>
      <c r="D138" t="str">
        <f t="shared" si="8"/>
        <v>599385031</v>
      </c>
      <c r="E138" t="str">
        <f t="shared" si="9"/>
        <v>2407120030</v>
      </c>
    </row>
    <row r="139" spans="1:5" x14ac:dyDescent="0.25">
      <c r="A139" s="1" t="s">
        <v>227</v>
      </c>
      <c r="B139" t="str">
        <f t="shared" si="7"/>
        <v>Juguetes electrónicos</v>
      </c>
      <c r="C139" t="str" cm="1">
        <f t="array" ref="C139">ObtenerURL(A139)</f>
        <v>https://www.amazon.es/vine/vine-items?queue=encore&amp;pn=599385031&amp;cn=2407143030</v>
      </c>
      <c r="D139" t="str">
        <f t="shared" si="8"/>
        <v>599385031</v>
      </c>
      <c r="E139" t="str">
        <f t="shared" si="9"/>
        <v>2407143030</v>
      </c>
    </row>
    <row r="140" spans="1:5" x14ac:dyDescent="0.25">
      <c r="A140" s="1" t="s">
        <v>228</v>
      </c>
      <c r="B140" t="str">
        <f t="shared" si="7"/>
        <v>Vehículos</v>
      </c>
      <c r="C140" t="str" cm="1">
        <f t="array" ref="C140">ObtenerURL(A140)</f>
        <v>https://www.amazon.es/vine/vine-items?queue=encore&amp;pn=599385031&amp;cn=16215301030</v>
      </c>
      <c r="D140" t="str">
        <f t="shared" si="8"/>
        <v>599385031</v>
      </c>
      <c r="E140" t="str">
        <f t="shared" si="9"/>
        <v>16215301030</v>
      </c>
    </row>
    <row r="141" spans="1:5" x14ac:dyDescent="0.25">
      <c r="C141" t="str" cm="1">
        <f t="array" ref="C141">ObtenerURL(A141)</f>
        <v/>
      </c>
      <c r="D141" t="str">
        <f t="shared" si="8"/>
        <v/>
      </c>
      <c r="E141" t="str">
        <f t="shared" si="9"/>
        <v/>
      </c>
    </row>
    <row r="142" spans="1:5" x14ac:dyDescent="0.25">
      <c r="A142" s="2" t="s">
        <v>229</v>
      </c>
      <c r="B142" t="str">
        <f t="shared" si="7"/>
        <v>Oficina y papelería</v>
      </c>
      <c r="C142" t="str" cm="1">
        <f t="array" ref="C142">ObtenerURL(A142)</f>
        <v>https://www.amazon.es/vine/vine-items?queue=encore&amp;pn=3628728031</v>
      </c>
      <c r="D142" t="str">
        <f t="shared" si="8"/>
        <v>3628728031</v>
      </c>
      <c r="E142" t="str">
        <f t="shared" si="9"/>
        <v/>
      </c>
    </row>
    <row r="143" spans="1:5" x14ac:dyDescent="0.25">
      <c r="A143" s="1" t="s">
        <v>230</v>
      </c>
      <c r="B143" t="str">
        <f t="shared" si="7"/>
        <v>Material de oficina</v>
      </c>
      <c r="C143" t="str" cm="1">
        <f t="array" ref="C143">ObtenerURL(A143)</f>
        <v>https://www.amazon.es/vine/vine-items?queue=encore&amp;pn=3628728031&amp;cn=5279417030</v>
      </c>
      <c r="D143" t="str">
        <f t="shared" si="8"/>
        <v>3628728031</v>
      </c>
      <c r="E143" t="str">
        <f t="shared" si="9"/>
        <v>5279417030</v>
      </c>
    </row>
    <row r="144" spans="1:5" x14ac:dyDescent="0.25">
      <c r="A144" s="1" t="s">
        <v>231</v>
      </c>
      <c r="B144" t="str">
        <f t="shared" si="7"/>
        <v>Productos de papel para oficina</v>
      </c>
      <c r="C144" t="str" cm="1">
        <f t="array" ref="C144">ObtenerURL(A144)</f>
        <v>https://www.amazon.es/vine/vine-items?queue=encore&amp;pn=3628728031&amp;cn=5279420030</v>
      </c>
      <c r="D144" t="str">
        <f t="shared" si="8"/>
        <v>3628728031</v>
      </c>
      <c r="E144" t="str">
        <f t="shared" si="9"/>
        <v>5279420030</v>
      </c>
    </row>
    <row r="145" spans="1:5" ht="30" x14ac:dyDescent="0.25">
      <c r="A145" s="1" t="s">
        <v>232</v>
      </c>
      <c r="B145" t="str">
        <f t="shared" si="7"/>
        <v>Bolígrafos, lápices y útiles de escritura</v>
      </c>
      <c r="C145" t="str" cm="1">
        <f t="array" ref="C145">ObtenerURL(A145)</f>
        <v>https://www.amazon.es/vine/vine-items?queue=encore&amp;pn=3628728031&amp;cn=5279414030</v>
      </c>
      <c r="D145" t="str">
        <f t="shared" si="8"/>
        <v>3628728031</v>
      </c>
      <c r="E145" t="str">
        <f t="shared" si="9"/>
        <v>5279414030</v>
      </c>
    </row>
    <row r="146" spans="1:5" x14ac:dyDescent="0.25">
      <c r="A146" s="1" t="s">
        <v>233</v>
      </c>
      <c r="B146" t="str">
        <f t="shared" si="7"/>
        <v>Material escolar y educativo</v>
      </c>
      <c r="C146" t="str" cm="1">
        <f t="array" ref="C146">ObtenerURL(A146)</f>
        <v>https://www.amazon.es/vine/vine-items?queue=encore&amp;pn=3628728031&amp;cn=5279418030</v>
      </c>
      <c r="D146" t="str">
        <f t="shared" si="8"/>
        <v>3628728031</v>
      </c>
      <c r="E146" t="str">
        <f t="shared" si="9"/>
        <v>5279418030</v>
      </c>
    </row>
    <row r="147" spans="1:5" ht="30" x14ac:dyDescent="0.25">
      <c r="A147" s="1" t="s">
        <v>234</v>
      </c>
      <c r="B147" t="str">
        <f t="shared" si="7"/>
        <v>Calendarios, agendas y organizadores personales</v>
      </c>
      <c r="C147" t="str" cm="1">
        <f t="array" ref="C147">ObtenerURL(A147)</f>
        <v>https://www.amazon.es/vine/vine-items?queue=encore&amp;pn=3628728031&amp;cn=5279415030</v>
      </c>
      <c r="D147" t="str">
        <f t="shared" si="8"/>
        <v>3628728031</v>
      </c>
      <c r="E147" t="str">
        <f t="shared" si="9"/>
        <v>5279415030</v>
      </c>
    </row>
    <row r="148" spans="1:5" x14ac:dyDescent="0.25">
      <c r="A148" s="1" t="s">
        <v>235</v>
      </c>
      <c r="B148" t="str">
        <f t="shared" si="7"/>
        <v>Electrónica de oficina</v>
      </c>
      <c r="C148" t="str" cm="1">
        <f t="array" ref="C148">ObtenerURL(A148)</f>
        <v>https://www.amazon.es/vine/vine-items?queue=encore&amp;pn=3628728031&amp;cn=5279416030</v>
      </c>
      <c r="D148" t="str">
        <f t="shared" si="8"/>
        <v>3628728031</v>
      </c>
      <c r="E148" t="str">
        <f t="shared" si="9"/>
        <v>5279416030</v>
      </c>
    </row>
    <row r="149" spans="1:5" ht="30" x14ac:dyDescent="0.25">
      <c r="A149" s="1" t="s">
        <v>236</v>
      </c>
      <c r="B149" t="str">
        <f t="shared" si="7"/>
        <v>Sobres y suministros para el correo</v>
      </c>
      <c r="C149" t="str" cm="1">
        <f t="array" ref="C149">ObtenerURL(A149)</f>
        <v>https://www.amazon.es/vine/vine-items?queue=encore&amp;pn=3628728031&amp;cn=5279421030</v>
      </c>
      <c r="D149" t="str">
        <f t="shared" si="8"/>
        <v>3628728031</v>
      </c>
      <c r="E149" t="str">
        <f t="shared" si="9"/>
        <v>5279421030</v>
      </c>
    </row>
    <row r="150" spans="1:5" x14ac:dyDescent="0.25">
      <c r="C150" t="str" cm="1">
        <f t="array" ref="C150">ObtenerURL(A150)</f>
        <v/>
      </c>
      <c r="D150" t="str">
        <f t="shared" si="8"/>
        <v/>
      </c>
      <c r="E150" t="str">
        <f t="shared" si="9"/>
        <v/>
      </c>
    </row>
    <row r="151" spans="1:5" x14ac:dyDescent="0.25">
      <c r="A151" s="2" t="s">
        <v>13</v>
      </c>
      <c r="B151" t="str">
        <f t="shared" si="7"/>
        <v>Iluminación</v>
      </c>
      <c r="C151" t="str" cm="1">
        <f t="array" ref="C151">ObtenerURL(A151)</f>
        <v>https://www.amazon.es/vine/vine-items?queue=encore&amp;pn=3564289031</v>
      </c>
      <c r="D151" t="str">
        <f t="shared" si="8"/>
        <v>3564289031</v>
      </c>
      <c r="E151" t="str">
        <f t="shared" si="9"/>
        <v/>
      </c>
    </row>
    <row r="152" spans="1:5" x14ac:dyDescent="0.25">
      <c r="A152" s="1" t="s">
        <v>237</v>
      </c>
      <c r="B152" t="str">
        <f t="shared" si="7"/>
        <v>Iluminación de interior</v>
      </c>
      <c r="C152" t="str" cm="1">
        <f t="array" ref="C152">ObtenerURL(A152)</f>
        <v>https://www.amazon.es/vine/vine-items?queue=encore&amp;pn=3564289031&amp;cn=5121400030</v>
      </c>
      <c r="D152" t="str">
        <f t="shared" si="8"/>
        <v>3564289031</v>
      </c>
      <c r="E152" t="str">
        <f t="shared" si="9"/>
        <v>5121400030</v>
      </c>
    </row>
    <row r="153" spans="1:5" x14ac:dyDescent="0.25">
      <c r="A153" s="1" t="s">
        <v>238</v>
      </c>
      <c r="B153" t="str">
        <f t="shared" si="7"/>
        <v>Bombillas</v>
      </c>
      <c r="C153" t="str" cm="1">
        <f t="array" ref="C153">ObtenerURL(A153)</f>
        <v>https://www.amazon.es/vine/vine-items?queue=encore&amp;pn=3564289031&amp;cn=5121397030</v>
      </c>
      <c r="D153" t="str">
        <f t="shared" si="8"/>
        <v>3564289031</v>
      </c>
      <c r="E153" t="str">
        <f t="shared" si="9"/>
        <v>5121397030</v>
      </c>
    </row>
    <row r="154" spans="1:5" x14ac:dyDescent="0.25">
      <c r="A154" s="1" t="s">
        <v>239</v>
      </c>
      <c r="B154" t="str">
        <f t="shared" si="7"/>
        <v>Guirnaldas luminosas</v>
      </c>
      <c r="C154" t="str" cm="1">
        <f t="array" ref="C154">ObtenerURL(A154)</f>
        <v>https://www.amazon.es/vine/vine-items?queue=encore&amp;pn=3564289031&amp;cn=23372600030</v>
      </c>
      <c r="D154" t="str">
        <f t="shared" si="8"/>
        <v>3564289031</v>
      </c>
      <c r="E154" t="str">
        <f t="shared" si="9"/>
        <v>23372600030</v>
      </c>
    </row>
    <row r="155" spans="1:5" x14ac:dyDescent="0.25">
      <c r="A155" s="1" t="s">
        <v>240</v>
      </c>
      <c r="B155" t="str">
        <f t="shared" si="7"/>
        <v>Iluminación de exterior</v>
      </c>
      <c r="C155" t="str" cm="1">
        <f t="array" ref="C155">ObtenerURL(A155)</f>
        <v>https://www.amazon.es/vine/vine-items?queue=encore&amp;pn=3564289031&amp;cn=5121399030</v>
      </c>
      <c r="D155" t="str">
        <f t="shared" si="8"/>
        <v>3564289031</v>
      </c>
      <c r="E155" t="str">
        <f t="shared" si="9"/>
        <v>5121399030</v>
      </c>
    </row>
    <row r="156" spans="1:5" x14ac:dyDescent="0.25">
      <c r="C156" t="str" cm="1">
        <f t="array" ref="C156">ObtenerURL(A156)</f>
        <v/>
      </c>
      <c r="D156" t="str">
        <f t="shared" si="8"/>
        <v/>
      </c>
      <c r="E156" t="str">
        <f t="shared" si="9"/>
        <v/>
      </c>
    </row>
    <row r="157" spans="1:5" x14ac:dyDescent="0.25">
      <c r="A157" s="2" t="s">
        <v>14</v>
      </c>
      <c r="B157" t="str">
        <f t="shared" si="7"/>
        <v>Productos para mascotas</v>
      </c>
      <c r="C157" t="str" cm="1">
        <f t="array" ref="C157">ObtenerURL(A157)</f>
        <v>https://www.amazon.es/vine/vine-items?queue=encore&amp;pn=12472654031</v>
      </c>
      <c r="D157" t="str">
        <f t="shared" si="8"/>
        <v>12472654031</v>
      </c>
      <c r="E157" t="str">
        <f t="shared" si="9"/>
        <v/>
      </c>
    </row>
    <row r="158" spans="1:5" x14ac:dyDescent="0.25">
      <c r="A158" s="1" t="s">
        <v>241</v>
      </c>
      <c r="B158" t="str">
        <f t="shared" ref="B158:B214" si="10">TRIM(LEFT(A158,FIND("(",A158)-2))</f>
        <v>Perros</v>
      </c>
      <c r="C158" t="str" cm="1">
        <f t="array" ref="C158">ObtenerURL(A158)</f>
        <v>https://www.amazon.es/vine/vine-items?queue=encore&amp;pn=12472654031&amp;cn=15007295030</v>
      </c>
      <c r="D158" t="str">
        <f t="shared" si="8"/>
        <v>12472654031</v>
      </c>
      <c r="E158" t="str">
        <f t="shared" si="9"/>
        <v>15007295030</v>
      </c>
    </row>
    <row r="159" spans="1:5" x14ac:dyDescent="0.25">
      <c r="A159" s="1" t="s">
        <v>242</v>
      </c>
      <c r="B159" t="str">
        <f t="shared" si="10"/>
        <v>Acuáticos</v>
      </c>
      <c r="C159" t="str" cm="1">
        <f t="array" ref="C159">ObtenerURL(A159)</f>
        <v>https://www.amazon.es/vine/vine-items?queue=encore&amp;pn=12472654031&amp;cn=15007289030</v>
      </c>
      <c r="D159" t="str">
        <f t="shared" si="8"/>
        <v>12472654031</v>
      </c>
      <c r="E159" t="str">
        <f t="shared" si="9"/>
        <v>15007289030</v>
      </c>
    </row>
    <row r="160" spans="1:5" x14ac:dyDescent="0.25">
      <c r="A160" s="1" t="s">
        <v>243</v>
      </c>
      <c r="B160" t="str">
        <f t="shared" si="10"/>
        <v>Productos para mascotas</v>
      </c>
      <c r="C160" t="str" cm="1">
        <f t="array" ref="C160">ObtenerURL(A160)</f>
        <v>https://www.amazon.es/vine/vine-items?queue=encore&amp;pn=12472654031&amp;cn=12472654031</v>
      </c>
      <c r="D160" t="str">
        <f t="shared" si="8"/>
        <v>12472654031</v>
      </c>
      <c r="E160" t="str">
        <f t="shared" si="9"/>
        <v>12472654031</v>
      </c>
    </row>
    <row r="161" spans="1:5" x14ac:dyDescent="0.25">
      <c r="A161" s="1" t="s">
        <v>244</v>
      </c>
      <c r="B161" t="str">
        <f t="shared" si="10"/>
        <v>Gatos</v>
      </c>
      <c r="C161" t="str" cm="1">
        <f t="array" ref="C161">ObtenerURL(A161)</f>
        <v>https://www.amazon.es/vine/vine-items?queue=encore&amp;pn=12472654031&amp;cn=15007293030</v>
      </c>
      <c r="D161" t="str">
        <f t="shared" si="8"/>
        <v>12472654031</v>
      </c>
      <c r="E161" t="str">
        <f t="shared" si="9"/>
        <v>15007293030</v>
      </c>
    </row>
    <row r="162" spans="1:5" x14ac:dyDescent="0.25">
      <c r="A162" s="1" t="s">
        <v>245</v>
      </c>
      <c r="B162" t="str">
        <f t="shared" si="10"/>
        <v>Animales pequeños</v>
      </c>
      <c r="C162" t="str" cm="1">
        <f t="array" ref="C162">ObtenerURL(A162)</f>
        <v>https://www.amazon.es/vine/vine-items?queue=encore&amp;pn=12472654031&amp;cn=15007290030</v>
      </c>
      <c r="D162" t="str">
        <f t="shared" si="8"/>
        <v>12472654031</v>
      </c>
      <c r="E162" t="str">
        <f t="shared" si="9"/>
        <v>15007290030</v>
      </c>
    </row>
    <row r="163" spans="1:5" x14ac:dyDescent="0.25">
      <c r="A163" s="1" t="s">
        <v>246</v>
      </c>
      <c r="B163" t="str">
        <f t="shared" si="10"/>
        <v>Pájaros</v>
      </c>
      <c r="C163" t="str" cm="1">
        <f t="array" ref="C163">ObtenerURL(A163)</f>
        <v>https://www.amazon.es/vine/vine-items?queue=encore&amp;pn=12472654031&amp;cn=15007296030</v>
      </c>
      <c r="D163" t="str">
        <f t="shared" si="8"/>
        <v>12472654031</v>
      </c>
      <c r="E163" t="str">
        <f t="shared" si="9"/>
        <v>15007296030</v>
      </c>
    </row>
    <row r="164" spans="1:5" x14ac:dyDescent="0.25">
      <c r="A164" s="1" t="s">
        <v>247</v>
      </c>
      <c r="B164" t="str">
        <f t="shared" si="10"/>
        <v>Caballos</v>
      </c>
      <c r="C164" t="str" cm="1">
        <f t="array" ref="C164">ObtenerURL(A164)</f>
        <v>https://www.amazon.es/vine/vine-items?queue=encore&amp;pn=12472654031&amp;cn=15007292030</v>
      </c>
      <c r="D164" t="str">
        <f t="shared" si="8"/>
        <v>12472654031</v>
      </c>
      <c r="E164" t="str">
        <f t="shared" si="9"/>
        <v>15007292030</v>
      </c>
    </row>
    <row r="165" spans="1:5" x14ac:dyDescent="0.25">
      <c r="C165" t="str" cm="1">
        <f t="array" ref="C165">ObtenerURL(A165)</f>
        <v/>
      </c>
      <c r="D165" t="str">
        <f t="shared" si="8"/>
        <v/>
      </c>
      <c r="E165" t="str">
        <f t="shared" si="9"/>
        <v/>
      </c>
    </row>
    <row r="166" spans="1:5" x14ac:dyDescent="0.25">
      <c r="A166" s="2" t="s">
        <v>15</v>
      </c>
      <c r="B166" t="str">
        <f t="shared" si="10"/>
        <v>Bebé</v>
      </c>
      <c r="C166" t="str" cm="1">
        <f t="array" ref="C166">ObtenerURL(A166)</f>
        <v>https://www.amazon.es/vine/vine-items?queue=encore&amp;pn=1703495031</v>
      </c>
      <c r="D166" t="str">
        <f t="shared" si="8"/>
        <v>1703495031</v>
      </c>
      <c r="E166" t="str">
        <f t="shared" si="9"/>
        <v/>
      </c>
    </row>
    <row r="167" spans="1:5" x14ac:dyDescent="0.25">
      <c r="A167" s="1" t="s">
        <v>248</v>
      </c>
      <c r="B167" t="str">
        <f t="shared" si="10"/>
        <v>Dormitorio</v>
      </c>
      <c r="C167" t="str" cm="1">
        <f t="array" ref="C167">ObtenerURL(A167)</f>
        <v>https://www.amazon.es/vine/vine-items?queue=encore&amp;pn=1703495031&amp;cn=2642993030</v>
      </c>
      <c r="D167" t="str">
        <f t="shared" si="8"/>
        <v>1703495031</v>
      </c>
      <c r="E167" t="str">
        <f t="shared" si="9"/>
        <v>2642993030</v>
      </c>
    </row>
    <row r="168" spans="1:5" x14ac:dyDescent="0.25">
      <c r="A168" s="1" t="s">
        <v>249</v>
      </c>
      <c r="B168" t="str">
        <f t="shared" si="10"/>
        <v>Lactancia y alimentación</v>
      </c>
      <c r="C168" t="str" cm="1">
        <f t="array" ref="C168">ObtenerURL(A168)</f>
        <v>https://www.amazon.es/vine/vine-items?queue=encore&amp;pn=1703495031&amp;cn=2642992030</v>
      </c>
      <c r="D168" t="str">
        <f t="shared" si="8"/>
        <v>1703495031</v>
      </c>
      <c r="E168" t="str">
        <f t="shared" si="9"/>
        <v>2642992030</v>
      </c>
    </row>
    <row r="169" spans="1:5" x14ac:dyDescent="0.25">
      <c r="A169" s="1" t="s">
        <v>250</v>
      </c>
      <c r="B169" t="str">
        <f t="shared" si="10"/>
        <v>Seguridad</v>
      </c>
      <c r="C169" t="str" cm="1">
        <f t="array" ref="C169">ObtenerURL(A169)</f>
        <v>https://www.amazon.es/vine/vine-items?queue=encore&amp;pn=1703495031&amp;cn=2642991030</v>
      </c>
      <c r="D169" t="str">
        <f t="shared" si="8"/>
        <v>1703495031</v>
      </c>
      <c r="E169" t="str">
        <f t="shared" si="9"/>
        <v>2642991030</v>
      </c>
    </row>
    <row r="170" spans="1:5" ht="30" x14ac:dyDescent="0.25">
      <c r="A170" s="1" t="s">
        <v>251</v>
      </c>
      <c r="B170" t="str">
        <f t="shared" si="10"/>
        <v>Remolques de bicicleta y accesorios</v>
      </c>
      <c r="C170" t="str" cm="1">
        <f t="array" ref="C170">ObtenerURL(A170)</f>
        <v>https://www.amazon.es/vine/vine-items?queue=encore&amp;pn=1703495031&amp;cn=2643005030</v>
      </c>
      <c r="D170" t="str">
        <f t="shared" si="8"/>
        <v>1703495031</v>
      </c>
      <c r="E170" t="str">
        <f t="shared" si="9"/>
        <v>2643005030</v>
      </c>
    </row>
    <row r="171" spans="1:5" x14ac:dyDescent="0.25">
      <c r="A171" s="1" t="s">
        <v>252</v>
      </c>
      <c r="B171" t="str">
        <f t="shared" si="10"/>
        <v>Sillas de coche y accesorios</v>
      </c>
      <c r="C171" t="str" cm="1">
        <f t="array" ref="C171">ObtenerURL(A171)</f>
        <v>https://www.amazon.es/vine/vine-items?queue=encore&amp;pn=1703495031&amp;cn=2642990030</v>
      </c>
      <c r="D171" t="str">
        <f t="shared" si="8"/>
        <v>1703495031</v>
      </c>
      <c r="E171" t="str">
        <f t="shared" si="9"/>
        <v>2642990030</v>
      </c>
    </row>
    <row r="172" spans="1:5" x14ac:dyDescent="0.25">
      <c r="A172" s="1" t="s">
        <v>253</v>
      </c>
      <c r="B172" t="str">
        <f t="shared" si="10"/>
        <v>Higiene y cuidado</v>
      </c>
      <c r="C172" t="str" cm="1">
        <f t="array" ref="C172">ObtenerURL(A172)</f>
        <v>https://www.amazon.es/vine/vine-items?queue=encore&amp;pn=1703495031&amp;cn=2642997030</v>
      </c>
      <c r="D172" t="str">
        <f t="shared" si="8"/>
        <v>1703495031</v>
      </c>
      <c r="E172" t="str">
        <f t="shared" si="9"/>
        <v>2642997030</v>
      </c>
    </row>
    <row r="173" spans="1:5" x14ac:dyDescent="0.25">
      <c r="C173" t="str" cm="1">
        <f t="array" ref="C173">ObtenerURL(A173)</f>
        <v/>
      </c>
      <c r="D173" t="str">
        <f t="shared" si="8"/>
        <v/>
      </c>
      <c r="E173" t="str">
        <f t="shared" si="9"/>
        <v/>
      </c>
    </row>
    <row r="174" spans="1:5" x14ac:dyDescent="0.25">
      <c r="A174" s="2" t="s">
        <v>16</v>
      </c>
      <c r="B174" t="str">
        <f t="shared" si="10"/>
        <v>Salud y cuidado personal</v>
      </c>
      <c r="C174" t="str" cm="1">
        <f t="array" ref="C174">ObtenerURL(A174)</f>
        <v>https://www.amazon.es/vine/vine-items?queue=encore&amp;pn=3677430031</v>
      </c>
      <c r="D174" t="str">
        <f t="shared" si="8"/>
        <v>3677430031</v>
      </c>
      <c r="E174" t="str">
        <f t="shared" si="9"/>
        <v/>
      </c>
    </row>
    <row r="175" spans="1:5" ht="30" x14ac:dyDescent="0.25">
      <c r="A175" s="1" t="s">
        <v>254</v>
      </c>
      <c r="B175" t="str">
        <f t="shared" si="10"/>
        <v>Suministros y equipamiento médico</v>
      </c>
      <c r="C175" t="str" cm="1">
        <f t="array" ref="C175">ObtenerURL(A175)</f>
        <v>https://www.amazon.es/vine/vine-items?queue=encore&amp;pn=3677430031&amp;cn=5273066030</v>
      </c>
      <c r="D175" t="str">
        <f t="shared" si="8"/>
        <v>3677430031</v>
      </c>
      <c r="E175" t="str">
        <f t="shared" si="9"/>
        <v>5273066030</v>
      </c>
    </row>
    <row r="176" spans="1:5" x14ac:dyDescent="0.25">
      <c r="A176" s="1" t="s">
        <v>255</v>
      </c>
      <c r="B176" t="str">
        <f t="shared" si="10"/>
        <v>Cuidado de la salud</v>
      </c>
      <c r="C176" t="str" cm="1">
        <f t="array" ref="C176">ObtenerURL(A176)</f>
        <v>https://www.amazon.es/vine/vine-items?queue=encore&amp;pn=3677430031&amp;cn=5273064030</v>
      </c>
      <c r="D176" t="str">
        <f t="shared" si="8"/>
        <v>3677430031</v>
      </c>
      <c r="E176" t="str">
        <f t="shared" si="9"/>
        <v>5273064030</v>
      </c>
    </row>
    <row r="177" spans="1:5" x14ac:dyDescent="0.25">
      <c r="A177" s="1" t="s">
        <v>256</v>
      </c>
      <c r="B177" t="str">
        <f t="shared" si="10"/>
        <v>Cuidado bucal</v>
      </c>
      <c r="C177" t="str" cm="1">
        <f t="array" ref="C177">ObtenerURL(A177)</f>
        <v>https://www.amazon.es/vine/vine-items?queue=encore&amp;pn=3677430031&amp;cn=5273062030</v>
      </c>
      <c r="D177" t="str">
        <f t="shared" si="8"/>
        <v>3677430031</v>
      </c>
      <c r="E177" t="str">
        <f t="shared" si="9"/>
        <v>5273062030</v>
      </c>
    </row>
    <row r="178" spans="1:5" x14ac:dyDescent="0.25">
      <c r="A178" s="1" t="s">
        <v>257</v>
      </c>
      <c r="B178" t="str">
        <f t="shared" si="10"/>
        <v>Bienestar</v>
      </c>
      <c r="C178" t="str" cm="1">
        <f t="array" ref="C178">ObtenerURL(A178)</f>
        <v>https://www.amazon.es/vine/vine-items?queue=encore&amp;pn=3677430031&amp;cn=5273060030</v>
      </c>
      <c r="D178" t="str">
        <f t="shared" si="8"/>
        <v>3677430031</v>
      </c>
      <c r="E178" t="str">
        <f t="shared" si="9"/>
        <v>5273060030</v>
      </c>
    </row>
    <row r="179" spans="1:5" ht="30" x14ac:dyDescent="0.25">
      <c r="A179" s="1" t="s">
        <v>258</v>
      </c>
      <c r="B179" t="str">
        <f t="shared" si="10"/>
        <v>Dispositivos para fumar y accesorios</v>
      </c>
      <c r="C179" t="str" cm="1">
        <f t="array" ref="C179">ObtenerURL(A179)</f>
        <v>https://www.amazon.es/vine/vine-items?queue=encore&amp;pn=3677430031&amp;cn=7480877030</v>
      </c>
      <c r="D179" t="str">
        <f t="shared" si="8"/>
        <v>3677430031</v>
      </c>
      <c r="E179" t="str">
        <f t="shared" si="9"/>
        <v>7480877030</v>
      </c>
    </row>
    <row r="180" spans="1:5" ht="30" x14ac:dyDescent="0.25">
      <c r="A180" s="1" t="s">
        <v>259</v>
      </c>
      <c r="B180" t="str">
        <f t="shared" si="10"/>
        <v>Vitaminas, minerales y suplementos</v>
      </c>
      <c r="C180" t="str" cm="1">
        <f t="array" ref="C180">ObtenerURL(A180)</f>
        <v>https://www.amazon.es/vine/vine-items?queue=encore&amp;pn=3677430031&amp;cn=5273219030</v>
      </c>
      <c r="D180" t="str">
        <f t="shared" si="8"/>
        <v>3677430031</v>
      </c>
      <c r="E180" t="str">
        <f t="shared" si="9"/>
        <v>5273219030</v>
      </c>
    </row>
    <row r="181" spans="1:5" x14ac:dyDescent="0.25">
      <c r="A181" s="1" t="s">
        <v>260</v>
      </c>
      <c r="B181" t="str">
        <f t="shared" si="10"/>
        <v>Cuidado y limpieza del hogar</v>
      </c>
      <c r="C181" t="str" cm="1">
        <f t="array" ref="C181">ObtenerURL(A181)</f>
        <v>https://www.amazon.es/vine/vine-items?queue=encore&amp;pn=3677430031&amp;cn=7346366030</v>
      </c>
      <c r="D181" t="str">
        <f t="shared" si="8"/>
        <v>3677430031</v>
      </c>
      <c r="E181" t="str">
        <f t="shared" si="9"/>
        <v>7346366030</v>
      </c>
    </row>
    <row r="182" spans="1:5" x14ac:dyDescent="0.25">
      <c r="C182" t="str" cm="1">
        <f t="array" ref="C182">ObtenerURL(A182)</f>
        <v/>
      </c>
      <c r="D182" t="str">
        <f t="shared" si="8"/>
        <v/>
      </c>
      <c r="E182" t="str">
        <f t="shared" si="9"/>
        <v/>
      </c>
    </row>
    <row r="183" spans="1:5" x14ac:dyDescent="0.25">
      <c r="A183" s="2" t="s">
        <v>17</v>
      </c>
      <c r="B183" t="str">
        <f t="shared" si="10"/>
        <v>Videojuegos</v>
      </c>
      <c r="C183" t="str" cm="1">
        <f t="array" ref="C183">ObtenerURL(A183)</f>
        <v>https://www.amazon.es/vine/vine-items?queue=encore&amp;pn=599382031</v>
      </c>
      <c r="D183" t="str">
        <f t="shared" si="8"/>
        <v>599382031</v>
      </c>
      <c r="E183" t="str">
        <f t="shared" si="9"/>
        <v/>
      </c>
    </row>
    <row r="184" spans="1:5" x14ac:dyDescent="0.25">
      <c r="A184" s="1" t="s">
        <v>261</v>
      </c>
      <c r="B184" t="str">
        <f t="shared" si="10"/>
        <v>Videojuegos</v>
      </c>
      <c r="C184" t="str" cm="1">
        <f t="array" ref="C184">ObtenerURL(A184)</f>
        <v>https://www.amazon.es/vine/vine-items?queue=encore&amp;pn=599382031&amp;cn=599382031</v>
      </c>
      <c r="D184" t="str">
        <f t="shared" si="8"/>
        <v>599382031</v>
      </c>
      <c r="E184" t="str">
        <f t="shared" si="9"/>
        <v>599382031</v>
      </c>
    </row>
    <row r="185" spans="1:5" x14ac:dyDescent="0.25">
      <c r="A185" s="1" t="s">
        <v>262</v>
      </c>
      <c r="B185" t="str">
        <f t="shared" si="10"/>
        <v>Nintendo Switch 2</v>
      </c>
      <c r="C185" t="str" cm="1">
        <f t="array" ref="C185">ObtenerURL(A185)</f>
        <v>https://www.amazon.es/vine/vine-items?queue=encore&amp;pn=599382031&amp;cn=206234223030</v>
      </c>
      <c r="D185" t="str">
        <f t="shared" si="8"/>
        <v>599382031</v>
      </c>
      <c r="E185" t="str">
        <f t="shared" si="9"/>
        <v>206234223030</v>
      </c>
    </row>
    <row r="186" spans="1:5" x14ac:dyDescent="0.25">
      <c r="A186" s="1" t="s">
        <v>263</v>
      </c>
      <c r="B186" t="str">
        <f t="shared" si="10"/>
        <v>Sistemas heredados</v>
      </c>
      <c r="C186" t="str" cm="1">
        <f t="array" ref="C186">ObtenerURL(A186)</f>
        <v>https://www.amazon.es/vine/vine-items?queue=encore&amp;pn=599382031&amp;cn=29989371030</v>
      </c>
      <c r="D186" t="str">
        <f t="shared" si="8"/>
        <v>599382031</v>
      </c>
      <c r="E186" t="str">
        <f t="shared" si="9"/>
        <v>29989371030</v>
      </c>
    </row>
    <row r="187" spans="1:5" x14ac:dyDescent="0.25">
      <c r="A187" s="1" t="s">
        <v>264</v>
      </c>
      <c r="B187" t="str">
        <f t="shared" si="10"/>
        <v>Nintendo Switch</v>
      </c>
      <c r="C187" t="str" cm="1">
        <f t="array" ref="C187">ObtenerURL(A187)</f>
        <v>https://www.amazon.es/vine/vine-items?queue=encore&amp;pn=599382031&amp;cn=13847457030</v>
      </c>
      <c r="D187" t="str">
        <f t="shared" si="8"/>
        <v>599382031</v>
      </c>
      <c r="E187" t="str">
        <f t="shared" si="9"/>
        <v>13847457030</v>
      </c>
    </row>
    <row r="188" spans="1:5" x14ac:dyDescent="0.25">
      <c r="A188" s="1" t="s">
        <v>265</v>
      </c>
      <c r="B188" t="str">
        <f t="shared" si="10"/>
        <v>PlayStation 5</v>
      </c>
      <c r="C188" t="str" cm="1">
        <f t="array" ref="C188">ObtenerURL(A188)</f>
        <v>https://www.amazon.es/vine/vine-items?queue=encore&amp;pn=599382031&amp;cn=23499754030</v>
      </c>
      <c r="D188" t="str">
        <f t="shared" si="8"/>
        <v>599382031</v>
      </c>
      <c r="E188" t="str">
        <f t="shared" si="9"/>
        <v>23499754030</v>
      </c>
    </row>
    <row r="189" spans="1:5" x14ac:dyDescent="0.25">
      <c r="A189" s="1" t="s">
        <v>266</v>
      </c>
      <c r="B189" t="str">
        <f t="shared" si="10"/>
        <v>Realidad virtual</v>
      </c>
      <c r="C189" t="str" cm="1">
        <f t="array" ref="C189">ObtenerURL(A189)</f>
        <v>https://www.amazon.es/vine/vine-items?queue=encore&amp;pn=599382031&amp;cn=25447187030</v>
      </c>
      <c r="D189" t="str">
        <f t="shared" si="8"/>
        <v>599382031</v>
      </c>
      <c r="E189" t="str">
        <f t="shared" si="9"/>
        <v>25447187030</v>
      </c>
    </row>
    <row r="190" spans="1:5" x14ac:dyDescent="0.25">
      <c r="C190" t="str" cm="1">
        <f t="array" ref="C190">ObtenerURL(A190)</f>
        <v/>
      </c>
      <c r="D190" t="str">
        <f t="shared" si="8"/>
        <v/>
      </c>
      <c r="E190" t="str">
        <f t="shared" si="9"/>
        <v/>
      </c>
    </row>
    <row r="191" spans="1:5" x14ac:dyDescent="0.25">
      <c r="A191" s="2" t="s">
        <v>18</v>
      </c>
      <c r="B191" t="str">
        <f t="shared" si="10"/>
        <v>Grandes electrodomésticos</v>
      </c>
      <c r="C191" t="str" cm="1">
        <f t="array" ref="C191">ObtenerURL(A191)</f>
        <v>https://www.amazon.es/vine/vine-items?queue=encore&amp;pn=4772050031</v>
      </c>
      <c r="D191" t="str">
        <f t="shared" si="8"/>
        <v>4772050031</v>
      </c>
      <c r="E191" t="str">
        <f t="shared" si="9"/>
        <v/>
      </c>
    </row>
    <row r="192" spans="1:5" x14ac:dyDescent="0.25">
      <c r="A192" s="1" t="s">
        <v>267</v>
      </c>
      <c r="B192" t="str">
        <f t="shared" si="10"/>
        <v>Piezas y accesorios</v>
      </c>
      <c r="C192" t="str" cm="1">
        <f t="array" ref="C192">ObtenerURL(A192)</f>
        <v>https://www.amazon.es/vine/vine-items?queue=encore&amp;pn=4772050031&amp;cn=16260529030</v>
      </c>
      <c r="D192" t="str">
        <f t="shared" si="8"/>
        <v>4772050031</v>
      </c>
      <c r="E192" t="str">
        <f t="shared" si="9"/>
        <v>16260529030</v>
      </c>
    </row>
    <row r="193" spans="1:5" x14ac:dyDescent="0.25">
      <c r="C193" t="str" cm="1">
        <f t="array" ref="C193">ObtenerURL(A193)</f>
        <v/>
      </c>
      <c r="D193" t="str">
        <f t="shared" si="8"/>
        <v/>
      </c>
      <c r="E193" t="str">
        <f t="shared" si="9"/>
        <v/>
      </c>
    </row>
    <row r="194" spans="1:5" x14ac:dyDescent="0.25">
      <c r="A194" s="2" t="s">
        <v>19</v>
      </c>
      <c r="B194" t="str">
        <f t="shared" si="10"/>
        <v>Instrumentos musicales</v>
      </c>
      <c r="C194" t="str" cm="1">
        <f t="array" ref="C194">ObtenerURL(A194)</f>
        <v>https://www.amazon.es/vine/vine-items?queue=encore&amp;pn=3628866031</v>
      </c>
      <c r="D194" t="str">
        <f t="shared" si="8"/>
        <v>3628866031</v>
      </c>
      <c r="E194" t="str">
        <f t="shared" si="9"/>
        <v/>
      </c>
    </row>
    <row r="195" spans="1:5" x14ac:dyDescent="0.25">
      <c r="A195" s="1" t="s">
        <v>268</v>
      </c>
      <c r="B195" t="str">
        <f t="shared" si="10"/>
        <v>Percusión</v>
      </c>
      <c r="C195" t="str" cm="1">
        <f t="array" ref="C195">ObtenerURL(A195)</f>
        <v>https://www.amazon.es/vine/vine-items?queue=encore&amp;pn=3628866031&amp;cn=5917450030</v>
      </c>
      <c r="D195" t="str">
        <f t="shared" ref="D195:D214" si="11">IF(C195="", "", MID(C195, FIND("pn=", C195) + 3, IFERROR(FIND("&amp;", C195, FIND("pn=", C195)) - FIND("pn=", C195) - 3, LEN(C195))))</f>
        <v>3628866031</v>
      </c>
      <c r="E195" t="str">
        <f t="shared" ref="E195:E214" si="12">IF(OR(C195="", ISERROR(FIND("cn=", C195))), "", MID(C195, FIND("cn=", C195) + 3, IFERROR(FIND("&amp;", C195, FIND("cn=", C195)) - FIND("cn=", C195) - 3, LEN(C195))))</f>
        <v>5917450030</v>
      </c>
    </row>
    <row r="196" spans="1:5" x14ac:dyDescent="0.25">
      <c r="A196" s="1" t="s">
        <v>269</v>
      </c>
      <c r="B196" t="str">
        <f t="shared" si="10"/>
        <v>Pianos y teclados</v>
      </c>
      <c r="C196" t="str" cm="1">
        <f t="array" ref="C196">ObtenerURL(A196)</f>
        <v>https://www.amazon.es/vine/vine-items?queue=encore&amp;pn=3628866031&amp;cn=5917451030</v>
      </c>
      <c r="D196" t="str">
        <f t="shared" si="11"/>
        <v>3628866031</v>
      </c>
      <c r="E196" t="str">
        <f t="shared" si="12"/>
        <v>5917451030</v>
      </c>
    </row>
    <row r="197" spans="1:5" ht="30" x14ac:dyDescent="0.25">
      <c r="A197" s="1" t="s">
        <v>270</v>
      </c>
      <c r="B197" t="str">
        <f t="shared" si="10"/>
        <v>Accesorios para músicos y producción musical</v>
      </c>
      <c r="C197" t="str" cm="1">
        <f t="array" ref="C197">ObtenerURL(A197)</f>
        <v>https://www.amazon.es/vine/vine-items?queue=encore&amp;pn=3628866031&amp;cn=5917441030</v>
      </c>
      <c r="D197" t="str">
        <f t="shared" si="11"/>
        <v>3628866031</v>
      </c>
      <c r="E197" t="str">
        <f t="shared" si="12"/>
        <v>5917441030</v>
      </c>
    </row>
    <row r="198" spans="1:5" x14ac:dyDescent="0.25">
      <c r="A198" s="1" t="s">
        <v>271</v>
      </c>
      <c r="B198" t="str">
        <f t="shared" si="10"/>
        <v>Instrumentos de viento</v>
      </c>
      <c r="C198" t="str" cm="1">
        <f t="array" ref="C198">ObtenerURL(A198)</f>
        <v>https://www.amazon.es/vine/vine-items?queue=encore&amp;pn=3628866031&amp;cn=5917448030</v>
      </c>
      <c r="D198" t="str">
        <f t="shared" si="11"/>
        <v>3628866031</v>
      </c>
      <c r="E198" t="str">
        <f t="shared" si="12"/>
        <v>5917448030</v>
      </c>
    </row>
    <row r="199" spans="1:5" x14ac:dyDescent="0.25">
      <c r="A199" s="1" t="s">
        <v>272</v>
      </c>
      <c r="B199" t="str">
        <f t="shared" si="10"/>
        <v>Instrumentos de cuerda</v>
      </c>
      <c r="C199" t="str" cm="1">
        <f t="array" ref="C199">ObtenerURL(A199)</f>
        <v>https://www.amazon.es/vine/vine-items?queue=encore&amp;pn=3628866031&amp;cn=5917447030</v>
      </c>
      <c r="D199" t="str">
        <f t="shared" si="11"/>
        <v>3628866031</v>
      </c>
      <c r="E199" t="str">
        <f t="shared" si="12"/>
        <v>5917447030</v>
      </c>
    </row>
    <row r="200" spans="1:5" x14ac:dyDescent="0.25">
      <c r="A200" s="1" t="s">
        <v>273</v>
      </c>
      <c r="B200" t="str">
        <f t="shared" si="10"/>
        <v>Guitarras y accesorios</v>
      </c>
      <c r="C200" t="str" cm="1">
        <f t="array" ref="C200">ObtenerURL(A200)</f>
        <v>https://www.amazon.es/vine/vine-items?queue=encore&amp;pn=3628866031&amp;cn=5917446030</v>
      </c>
      <c r="D200" t="str">
        <f t="shared" si="11"/>
        <v>3628866031</v>
      </c>
      <c r="E200" t="str">
        <f t="shared" si="12"/>
        <v>5917446030</v>
      </c>
    </row>
    <row r="201" spans="1:5" ht="30" x14ac:dyDescent="0.25">
      <c r="A201" s="1" t="s">
        <v>274</v>
      </c>
      <c r="B201" t="str">
        <f t="shared" si="10"/>
        <v>Sistemas de escenario y megafonía</v>
      </c>
      <c r="C201" t="str" cm="1">
        <f t="array" ref="C201">ObtenerURL(A201)</f>
        <v>https://www.amazon.es/vine/vine-items?queue=encore&amp;pn=3628866031&amp;cn=5917453030</v>
      </c>
      <c r="D201" t="str">
        <f t="shared" si="11"/>
        <v>3628866031</v>
      </c>
      <c r="E201" t="str">
        <f t="shared" si="12"/>
        <v>5917453030</v>
      </c>
    </row>
    <row r="202" spans="1:5" x14ac:dyDescent="0.25">
      <c r="C202" t="str" cm="1">
        <f t="array" ref="C202">ObtenerURL(A202)</f>
        <v/>
      </c>
      <c r="D202" t="str">
        <f t="shared" si="11"/>
        <v/>
      </c>
      <c r="E202" t="str">
        <f t="shared" si="12"/>
        <v/>
      </c>
    </row>
    <row r="203" spans="1:5" x14ac:dyDescent="0.25">
      <c r="A203" s="2" t="s">
        <v>275</v>
      </c>
      <c r="B203" t="str">
        <f t="shared" si="10"/>
        <v>Alimentación y bebidas</v>
      </c>
      <c r="C203" t="str" cm="1">
        <f t="array" ref="C203">ObtenerURL(A203)</f>
        <v>https://www.amazon.es/vine/vine-items?queue=encore&amp;pn=6198072031</v>
      </c>
      <c r="D203" t="str">
        <f t="shared" si="11"/>
        <v>6198072031</v>
      </c>
      <c r="E203" t="str">
        <f t="shared" si="12"/>
        <v/>
      </c>
    </row>
    <row r="204" spans="1:5" ht="30" x14ac:dyDescent="0.25">
      <c r="A204" s="1" t="s">
        <v>276</v>
      </c>
      <c r="B204" t="str">
        <f t="shared" si="10"/>
        <v>Productos para cocina y repostería</v>
      </c>
      <c r="C204" t="str" cm="1">
        <f t="array" ref="C204">ObtenerURL(A204)</f>
        <v>https://www.amazon.es/vine/vine-items?queue=encore&amp;pn=6198072031&amp;cn=7370998030</v>
      </c>
      <c r="D204" t="str">
        <f t="shared" si="11"/>
        <v>6198072031</v>
      </c>
      <c r="E204" t="str">
        <f t="shared" si="12"/>
        <v>7370998030</v>
      </c>
    </row>
    <row r="205" spans="1:5" x14ac:dyDescent="0.25">
      <c r="C205" t="str" cm="1">
        <f t="array" ref="C205">ObtenerURL(A205)</f>
        <v/>
      </c>
      <c r="D205" t="str">
        <f t="shared" si="11"/>
        <v/>
      </c>
      <c r="E205" t="str">
        <f t="shared" si="12"/>
        <v/>
      </c>
    </row>
    <row r="206" spans="1:5" x14ac:dyDescent="0.25">
      <c r="A206" s="2" t="s">
        <v>20</v>
      </c>
      <c r="B206" t="str">
        <f t="shared" si="10"/>
        <v>Belleza</v>
      </c>
      <c r="C206" t="str" cm="1">
        <f t="array" ref="C206">ObtenerURL(A206)</f>
        <v>https://www.amazon.es/vine/vine-items?queue=encore&amp;pn=6198054031</v>
      </c>
      <c r="D206" t="str">
        <f t="shared" si="11"/>
        <v>6198054031</v>
      </c>
      <c r="E206" t="str">
        <f t="shared" si="12"/>
        <v/>
      </c>
    </row>
    <row r="207" spans="1:5" x14ac:dyDescent="0.25">
      <c r="A207" s="1" t="s">
        <v>277</v>
      </c>
      <c r="B207" t="str">
        <f t="shared" si="10"/>
        <v>Afeitado y depilación</v>
      </c>
      <c r="C207" t="str" cm="1">
        <f t="array" ref="C207">ObtenerURL(A207)</f>
        <v>https://www.amazon.es/vine/vine-items?queue=encore&amp;pn=6198054031&amp;cn=5273058030</v>
      </c>
      <c r="D207" t="str">
        <f t="shared" si="11"/>
        <v>6198054031</v>
      </c>
      <c r="E207" t="str">
        <f t="shared" si="12"/>
        <v>5273058030</v>
      </c>
    </row>
    <row r="208" spans="1:5" x14ac:dyDescent="0.25">
      <c r="A208" s="1" t="s">
        <v>278</v>
      </c>
      <c r="B208" t="str">
        <f t="shared" si="10"/>
        <v>Cuidado del cabello</v>
      </c>
      <c r="C208" t="str" cm="1">
        <f t="array" ref="C208">ObtenerURL(A208)</f>
        <v>https://www.amazon.es/vine/vine-items?queue=encore&amp;pn=6198054031&amp;cn=5273878030</v>
      </c>
      <c r="D208" t="str">
        <f t="shared" si="11"/>
        <v>6198054031</v>
      </c>
      <c r="E208" t="str">
        <f t="shared" si="12"/>
        <v>5273878030</v>
      </c>
    </row>
    <row r="209" spans="1:5" x14ac:dyDescent="0.25">
      <c r="A209" s="1" t="s">
        <v>279</v>
      </c>
      <c r="B209" t="str">
        <f t="shared" si="10"/>
        <v>Utensilios y accesorios</v>
      </c>
      <c r="C209" t="str" cm="1">
        <f t="array" ref="C209">ObtenerURL(A209)</f>
        <v>https://www.amazon.es/vine/vine-items?queue=encore&amp;pn=6198054031&amp;cn=7397448030</v>
      </c>
      <c r="D209" t="str">
        <f t="shared" si="11"/>
        <v>6198054031</v>
      </c>
      <c r="E209" t="str">
        <f t="shared" si="12"/>
        <v>7397448030</v>
      </c>
    </row>
    <row r="210" spans="1:5" x14ac:dyDescent="0.25">
      <c r="A210" s="1" t="s">
        <v>280</v>
      </c>
      <c r="B210" t="str">
        <f t="shared" si="10"/>
        <v>Equipo de salón y spa</v>
      </c>
      <c r="C210" t="str" cm="1">
        <f t="array" ref="C210">ObtenerURL(A210)</f>
        <v>https://www.amazon.es/vine/vine-items?queue=encore&amp;pn=6198054031&amp;cn=30274096030</v>
      </c>
      <c r="D210" t="str">
        <f t="shared" si="11"/>
        <v>6198054031</v>
      </c>
      <c r="E210" t="str">
        <f t="shared" si="12"/>
        <v>30274096030</v>
      </c>
    </row>
    <row r="211" spans="1:5" x14ac:dyDescent="0.25">
      <c r="A211" s="1" t="s">
        <v>281</v>
      </c>
      <c r="B211" t="str">
        <f t="shared" si="10"/>
        <v>Baño e higiene personal</v>
      </c>
      <c r="C211" t="str" cm="1">
        <f t="array" ref="C211">ObtenerURL(A211)</f>
        <v>https://www.amazon.es/vine/vine-items?queue=encore&amp;pn=6198054031&amp;cn=5273856030</v>
      </c>
      <c r="D211" t="str">
        <f t="shared" si="11"/>
        <v>6198054031</v>
      </c>
      <c r="E211" t="str">
        <f t="shared" si="12"/>
        <v>5273856030</v>
      </c>
    </row>
    <row r="212" spans="1:5" x14ac:dyDescent="0.25">
      <c r="C212" t="str" cm="1">
        <f t="array" ref="C212">ObtenerURL(A212)</f>
        <v/>
      </c>
      <c r="D212" t="str">
        <f t="shared" si="11"/>
        <v/>
      </c>
      <c r="E212" t="str">
        <f t="shared" si="12"/>
        <v/>
      </c>
    </row>
    <row r="213" spans="1:5" x14ac:dyDescent="0.25">
      <c r="A213" s="2" t="s">
        <v>21</v>
      </c>
      <c r="B213" t="str">
        <f t="shared" si="10"/>
        <v>Otros Productos</v>
      </c>
      <c r="C213" t="str" cm="1">
        <f t="array" ref="C213">ObtenerURL(A213)</f>
        <v>https://www.amazon.es/vine/vine-items?queue=encore&amp;pn=667040031</v>
      </c>
      <c r="D213" t="str">
        <f t="shared" si="11"/>
        <v>667040031</v>
      </c>
      <c r="E213" t="str">
        <f t="shared" si="12"/>
        <v/>
      </c>
    </row>
    <row r="214" spans="1:5" x14ac:dyDescent="0.25">
      <c r="A214" s="1" t="s">
        <v>21</v>
      </c>
      <c r="B214" t="str">
        <f t="shared" si="10"/>
        <v>Otros Productos</v>
      </c>
      <c r="C214" t="str" cm="1">
        <f t="array" ref="C214">ObtenerURL(A214)</f>
        <v>https://www.amazon.es/vine/vine-items?queue=encore&amp;pn=667040031&amp;cn=667040031</v>
      </c>
      <c r="D214" t="str">
        <f t="shared" si="11"/>
        <v>667040031</v>
      </c>
      <c r="E214" t="str">
        <f t="shared" si="12"/>
        <v>667040031</v>
      </c>
    </row>
  </sheetData>
  <hyperlinks>
    <hyperlink ref="A19" r:id="rId1" display="https://www.amazon.es/vine/vine-items?queue=encore&amp;pn=599391031" xr:uid="{0B3A80A2-2565-4464-A640-126BD14F972D}"/>
    <hyperlink ref="A20" r:id="rId2" display="https://www.amazon.es/vine/vine-items?queue=encore&amp;pn=599391031&amp;cn=5285555030" xr:uid="{6235140A-AC27-4E36-A49F-9C2D2C02AFDD}"/>
    <hyperlink ref="A21" r:id="rId3" display="https://www.amazon.es/vine/vine-items?queue=encore&amp;pn=599391031&amp;cn=2991577030" xr:uid="{CFB864E2-BCB7-47E4-94FD-1D2B6C3DB687}"/>
    <hyperlink ref="A22" r:id="rId4" display="https://www.amazon.es/vine/vine-items?queue=encore&amp;pn=599391031&amp;cn=3703686030" xr:uid="{ABA25DA1-D96F-4366-B3D3-3E01D56A86BA}"/>
    <hyperlink ref="A23" r:id="rId5" display="https://www.amazon.es/vine/vine-items?queue=encore&amp;pn=599391031&amp;cn=4503992030" xr:uid="{6F797309-D7B8-40B9-9698-56A79990ADB7}"/>
    <hyperlink ref="A24" r:id="rId6" display="https://www.amazon.es/vine/vine-items?queue=encore&amp;pn=599391031&amp;cn=2991261030" xr:uid="{58E0A199-3B95-4844-964B-CDE15A7D77E5}"/>
    <hyperlink ref="A25" r:id="rId7" display="https://www.amazon.es/vine/vine-items?queue=encore&amp;pn=599391031&amp;cn=2991451030" xr:uid="{75A5ACDA-8494-4D39-94C8-93C55131736A}"/>
    <hyperlink ref="A26" r:id="rId8" display="https://www.amazon.es/vine/vine-items?queue=encore&amp;pn=599391031&amp;cn=2991342030" xr:uid="{19C9363C-9C34-45FE-9A69-AA85033CEC3E}"/>
    <hyperlink ref="A27" r:id="rId9" display="https://www.amazon.es/vine/vine-items?queue=encore&amp;pn=599391031&amp;cn=3998375030" xr:uid="{5EDA65F9-29EF-4970-A332-1682BAD52145}"/>
    <hyperlink ref="A28" r:id="rId10" display="https://www.amazon.es/vine/vine-items?queue=encore&amp;pn=599391031&amp;cn=4245468030" xr:uid="{DD8B21A8-4A8A-46DD-B1F0-3BB20B6AF7CC}"/>
    <hyperlink ref="A29" r:id="rId11" display="https://www.amazon.es/vine/vine-items?queue=encore&amp;pn=599391031&amp;cn=4578274030" xr:uid="{13564875-EE88-42A5-BE9E-D78E7A665EA9}"/>
    <hyperlink ref="A30" r:id="rId12" display="https://www.amazon.es/vine/vine-items?queue=encore&amp;pn=599391031&amp;cn=2991109030" xr:uid="{06CEF44D-EFEC-4773-A6A5-6B3EA90EA6C0}"/>
    <hyperlink ref="A31" r:id="rId13" display="https://www.amazon.es/vine/vine-items?queue=encore&amp;pn=599391031&amp;cn=4125251030" xr:uid="{82E0642D-33AA-400B-9153-4BB6CCF2793C}"/>
    <hyperlink ref="A32" r:id="rId14" display="https://www.amazon.es/vine/vine-items?queue=encore&amp;pn=599391031&amp;cn=3680439030" xr:uid="{AAE849CA-1B7A-441D-859C-075E90FD94D6}"/>
    <hyperlink ref="A33" r:id="rId15" display="https://www.amazon.es/vine/vine-items?queue=encore&amp;pn=599391031&amp;cn=4130616030" xr:uid="{A5D76DE8-211D-4A99-B76A-B53B5EA38C3F}"/>
    <hyperlink ref="A34" r:id="rId16" display="https://www.amazon.es/vine/vine-items?queue=encore&amp;pn=599391031&amp;cn=2991052030" xr:uid="{5CE7D2A2-6AE5-4E0E-8CD0-1282CBA8161E}"/>
    <hyperlink ref="A35" r:id="rId17" display="https://www.amazon.es/vine/vine-items?queue=encore&amp;pn=599391031&amp;cn=3998363030" xr:uid="{1F9EB9EC-D9CC-4E29-A099-D57B4C733B41}"/>
    <hyperlink ref="A36" r:id="rId18" display="https://www.amazon.es/vine/vine-items?queue=encore&amp;pn=599391031&amp;cn=599391031" xr:uid="{58CE6531-192A-4551-B003-5C3D93E28629}"/>
    <hyperlink ref="A37" r:id="rId19" display="https://www.amazon.es/vine/vine-items?queue=encore&amp;pn=599391031&amp;cn=5579405030" xr:uid="{E7CD9531-C7B8-4680-B7AC-53E495F2F997}"/>
    <hyperlink ref="A38" r:id="rId20" display="https://www.amazon.es/vine/vine-items?queue=encore&amp;pn=599391031&amp;cn=2991223030" xr:uid="{400B214B-6FA3-41E7-AC0E-665CEA168623}"/>
    <hyperlink ref="A40" r:id="rId21" display="https://www.amazon.es/vine/vine-items?queue=encore&amp;pn=667049031" xr:uid="{DC56D59E-868D-4DD4-A5E5-2823C3868C3D}"/>
    <hyperlink ref="A41" r:id="rId22" display="https://www.amazon.es/vine/vine-items?queue=encore&amp;pn=667049031&amp;cn=1680506030" xr:uid="{23428B9C-55A2-449B-909B-C5BD9E4C121F}"/>
    <hyperlink ref="A42" r:id="rId23" display="https://www.amazon.es/vine/vine-items?queue=encore&amp;pn=667049031&amp;cn=19879505030" xr:uid="{167D3949-F19C-4F82-B959-899C5150BB25}"/>
    <hyperlink ref="A43" r:id="rId24" display="https://www.amazon.es/vine/vine-items?queue=encore&amp;pn=667049031&amp;cn=1680665030" xr:uid="{5B9BB084-5BF8-4DAD-B0FE-C0D8F6F432A8}"/>
    <hyperlink ref="A44" r:id="rId25" display="https://www.amazon.es/vine/vine-items?queue=encore&amp;pn=667049031&amp;cn=1680711030" xr:uid="{E8714120-C534-429D-A2B8-0E6D7094D429}"/>
    <hyperlink ref="A45" r:id="rId26" display="https://www.amazon.es/vine/vine-items?queue=encore&amp;pn=667049031&amp;cn=19874943030" xr:uid="{544B40C1-021F-4321-80CD-14774DFF3EBD}"/>
    <hyperlink ref="A46" r:id="rId27" display="https://www.amazon.es/vine/vine-items?queue=encore&amp;pn=667049031&amp;cn=19879501030" xr:uid="{16DA5E7E-6111-4197-9416-ADEE3CA56DA0}"/>
    <hyperlink ref="A48" r:id="rId28" display="https://www.amazon.es/vine/vine-items?queue=encore&amp;pn=2454133031" xr:uid="{B8DF8B2E-095F-4E16-891C-8BAD5230A23C}"/>
    <hyperlink ref="A49" r:id="rId29" display="https://www.amazon.es/vine/vine-items?queue=encore&amp;pn=2454133031&amp;cn=3922816030" xr:uid="{B9D4715F-EA3D-4796-A8F0-B3C580487D86}"/>
    <hyperlink ref="A50" r:id="rId30" display="https://www.amazon.es/vine/vine-items?queue=encore&amp;pn=2454133031&amp;cn=3922819030" xr:uid="{2510D828-D66D-41AC-9811-19FE627DAB63}"/>
    <hyperlink ref="A51" r:id="rId31" display="https://www.amazon.es/vine/vine-items?queue=encore&amp;pn=2454133031&amp;cn=3922822030" xr:uid="{474DBF28-4159-4B8E-8CC7-C6F3D3C771D3}"/>
    <hyperlink ref="A52" r:id="rId32" display="https://www.amazon.es/vine/vine-items?queue=encore&amp;pn=2454133031&amp;cn=3922824030" xr:uid="{2428E6EB-C0DC-497C-8885-824F2A25F0AE}"/>
    <hyperlink ref="A53" r:id="rId33" display="https://www.amazon.es/vine/vine-items?queue=encore&amp;pn=2454133031&amp;cn=3922823030" xr:uid="{A48D1CFA-9141-4D99-9BE7-DFCF476BC341}"/>
    <hyperlink ref="A54" r:id="rId34" display="https://www.amazon.es/vine/vine-items?queue=encore&amp;pn=2454133031&amp;cn=3922815030" xr:uid="{7E081499-E6CC-45B3-9214-60D3EF0112B4}"/>
    <hyperlink ref="A55" r:id="rId35" display="https://www.amazon.es/vine/vine-items?queue=encore&amp;pn=2454133031&amp;cn=3922818030" xr:uid="{8A9222B4-3C9E-4E7A-A8B9-E8A2E147A86B}"/>
    <hyperlink ref="A56" r:id="rId36" display="https://www.amazon.es/vine/vine-items?queue=encore&amp;pn=2454133031&amp;cn=3922817030" xr:uid="{DBD20ABE-22EF-4812-BDDA-90F50AE45EBC}"/>
    <hyperlink ref="A57" r:id="rId37" display="https://www.amazon.es/vine/vine-items?queue=encore&amp;pn=2454133031&amp;cn=3922821030" xr:uid="{419123B8-F241-4DB5-8CB2-34040C0E8EA6}"/>
    <hyperlink ref="A58" r:id="rId38" display="https://www.amazon.es/vine/vine-items?queue=encore&amp;pn=2454133031&amp;cn=2454133031" xr:uid="{FA4D1335-2A17-48E8-85CB-8C2EA513DCE8}"/>
    <hyperlink ref="A59" r:id="rId39" display="https://www.amazon.es/vine/vine-items?queue=encore&amp;pn=2454133031&amp;cn=3703847030" xr:uid="{521ADB08-2451-4FFD-B942-801B762240F1}"/>
    <hyperlink ref="A61" r:id="rId40" display="https://www.amazon.es/vine/vine-items?queue=encore&amp;pn=1951051031" xr:uid="{877957EB-7277-47C7-8FAD-22CB89BD7439}"/>
    <hyperlink ref="A62" r:id="rId41" display="https://www.amazon.es/vine/vine-items?queue=encore&amp;pn=1951051031&amp;cn=3268226030" xr:uid="{E59A6754-393C-4974-8657-0217B791CFBC}"/>
    <hyperlink ref="A63" r:id="rId42" display="https://www.amazon.es/vine/vine-items?queue=encore&amp;pn=1951051031&amp;cn=3267987030" xr:uid="{D8778EDA-4354-4BBC-8F25-ACD169A1026C}"/>
    <hyperlink ref="A64" r:id="rId43" display="https://www.amazon.es/vine/vine-items?queue=encore&amp;pn=1951051031&amp;cn=3267811030" xr:uid="{810EEC80-E215-440A-BECD-CD3BD749D09A}"/>
    <hyperlink ref="A65" r:id="rId44" display="https://www.amazon.es/vine/vine-items?queue=encore&amp;pn=1951051031&amp;cn=3267965030" xr:uid="{65C1B9D5-2CA6-4580-A9D2-C5812EB0B539}"/>
    <hyperlink ref="A66" r:id="rId45" display="https://www.amazon.es/vine/vine-items?queue=encore&amp;pn=1951051031&amp;cn=3267975030" xr:uid="{A0B61CA2-3686-4907-863B-134FD5ACB56A}"/>
    <hyperlink ref="A67" r:id="rId46" display="https://www.amazon.es/vine/vine-items?queue=encore&amp;pn=1951051031&amp;cn=3268496030" xr:uid="{470F22E4-6D0F-446C-BF75-27DC1FD2DDBA}"/>
    <hyperlink ref="A68" r:id="rId47" display="https://www.amazon.es/vine/vine-items?queue=encore&amp;pn=1951051031&amp;cn=3268507030" xr:uid="{35978FC3-0003-4713-BB93-6EB3E0727860}"/>
    <hyperlink ref="A69" r:id="rId48" display="https://www.amazon.es/vine/vine-items?queue=encore&amp;pn=1951051031&amp;cn=3267905030" xr:uid="{6192B3C8-3663-4915-8FA6-A305EFB36F8E}"/>
    <hyperlink ref="A70" r:id="rId49" display="https://www.amazon.es/vine/vine-items?queue=encore&amp;pn=1951051031&amp;cn=3268419030" xr:uid="{91A344D6-02C6-44AD-BDBB-B6D88B77407F}"/>
    <hyperlink ref="A71" r:id="rId50" display="https://www.amazon.es/vine/vine-items?queue=encore&amp;pn=1951051031&amp;cn=1951051031" xr:uid="{0D35572F-3A63-43E2-ACC9-45EB313EF764}"/>
    <hyperlink ref="A72" r:id="rId51" display="https://www.amazon.es/vine/vine-items?queue=encore&amp;pn=1951051031&amp;cn=17480980030" xr:uid="{3C65BF96-3492-430B-9486-3B74B0E13189}"/>
    <hyperlink ref="A74" r:id="rId52" display="https://www.amazon.es/vine/vine-items?queue=encore&amp;pn=5512276031" xr:uid="{80C517B6-E582-4E78-BC4D-C99696FC74F4}"/>
    <hyperlink ref="A75" r:id="rId53" display="https://www.amazon.es/vine/vine-items?queue=encore&amp;pn=5512276031&amp;cn=14230295030" xr:uid="{E9F995AC-3E9E-4802-98B8-912A8FDF8758}"/>
    <hyperlink ref="A76" r:id="rId54" display="https://www.amazon.es/vine/vine-items?queue=encore&amp;pn=5512276031&amp;cn=6493352030" xr:uid="{0E59F491-FB53-4E2B-8037-A132B7B0C213}"/>
    <hyperlink ref="A77" r:id="rId55" display="https://www.amazon.es/vine/vine-items?queue=encore&amp;pn=5512276031&amp;cn=6493349030" xr:uid="{F2E9238F-B6E7-4AC6-9B74-BFC9CAB30E55}"/>
    <hyperlink ref="A78" r:id="rId56" display="https://www.amazon.es/vine/vine-items?queue=encore&amp;pn=5512276031&amp;cn=13911558030" xr:uid="{A05DA904-1BB2-4B54-B7B6-AE535D8991EB}"/>
    <hyperlink ref="A79" r:id="rId57" display="https://www.amazon.es/vine/vine-items?queue=encore&amp;pn=5512276031&amp;cn=3948711030" xr:uid="{AACAAF5A-1458-4A18-9C52-70008ACCA617}"/>
    <hyperlink ref="A80" r:id="rId58" display="https://www.amazon.es/vine/vine-items?queue=encore&amp;pn=5512276031&amp;cn=6495004030" xr:uid="{5BD9392D-F0E8-4E4F-8C8C-032ACE49D04D}"/>
    <hyperlink ref="A81" r:id="rId59" display="https://www.amazon.es/vine/vine-items?queue=encore&amp;pn=5512276031&amp;cn=6866506030" xr:uid="{1D2E270D-3B52-4524-8B89-C90D93E4D9DB}"/>
    <hyperlink ref="A82" r:id="rId60" display="https://www.amazon.es/vine/vine-items?queue=encore&amp;pn=5512276031&amp;cn=6495007030" xr:uid="{0F7AABA6-F645-4A01-8B04-33B814542EF3}"/>
    <hyperlink ref="A83" r:id="rId61" display="https://www.amazon.es/vine/vine-items?queue=encore&amp;pn=5512276031&amp;cn=6495010030" xr:uid="{6A907B27-459E-4D6A-B0AD-32CA6AD1C9F3}"/>
    <hyperlink ref="A84" r:id="rId62" display="https://www.amazon.es/vine/vine-items?queue=encore&amp;pn=5512276031&amp;cn=30169515030" xr:uid="{7C214D12-72AC-4C1E-91EF-BBEAA517A7F5}"/>
    <hyperlink ref="A86" r:id="rId63" display="https://www.amazon.es/vine/vine-items?queue=encore&amp;pn=2454136031" xr:uid="{2E3B6065-6564-43FC-9837-B98DD3B9F2D4}"/>
    <hyperlink ref="A87" r:id="rId64" display="https://www.amazon.es/vine/vine-items?queue=encore&amp;pn=2454136031&amp;cn=29102967030" xr:uid="{911DD635-2E69-4EDF-A9C7-77513843D166}"/>
    <hyperlink ref="A88" r:id="rId65" display="https://www.amazon.es/vine/vine-items?queue=encore&amp;pn=2454136031&amp;cn=3794299030" xr:uid="{481A449C-76C1-466D-BA5D-3AF63CD94F4B}"/>
    <hyperlink ref="A89" r:id="rId66" display="https://www.amazon.es/vine/vine-items?queue=encore&amp;pn=2454136031&amp;cn=29102966030" xr:uid="{BC63E49B-413D-437A-8790-0A02E1E0227D}"/>
    <hyperlink ref="A90" r:id="rId67" display="https://www.amazon.es/vine/vine-items?queue=encore&amp;pn=2454136031&amp;cn=3794298030" xr:uid="{5A0C0607-E562-4074-9B58-3989D0AA8837}"/>
    <hyperlink ref="A91" r:id="rId68" display="https://www.amazon.es/vine/vine-items?queue=encore&amp;pn=2454136031&amp;cn=29102965030" xr:uid="{D7B9C9E2-5844-47D0-B346-3B19E716ACCF}"/>
    <hyperlink ref="A92" r:id="rId69" display="https://www.amazon.es/vine/vine-items?queue=encore&amp;pn=2454136031&amp;cn=3794320030" xr:uid="{7FCC1E76-4C0C-4B63-A6D2-A9AE209AF3FC}"/>
    <hyperlink ref="A93" r:id="rId70" display="https://www.amazon.es/vine/vine-items?queue=encore&amp;pn=2454136031&amp;cn=29102968030" xr:uid="{B36D5B6A-AB25-4119-AEED-F25A995B2421}"/>
    <hyperlink ref="A94" r:id="rId71" display="https://www.amazon.es/vine/vine-items?queue=encore&amp;pn=2454136031&amp;cn=3794324030" xr:uid="{4983DC05-4966-4532-A792-48D76ECC696B}"/>
    <hyperlink ref="A95" r:id="rId72" display="https://www.amazon.es/vine/vine-items?queue=encore&amp;pn=2454136031&amp;cn=2454136031" xr:uid="{12B4821F-D5A9-4E9E-8DE6-6C32ED0E810B}"/>
    <hyperlink ref="A97" r:id="rId73" display="https://www.amazon.es/vine/vine-items?queue=encore&amp;pn=5866088031" xr:uid="{952672D1-6FC5-41F6-8F78-BFE2EE453963}"/>
    <hyperlink ref="A98" r:id="rId74" display="https://www.amazon.es/vine/vine-items?queue=encore&amp;pn=5866088031&amp;cn=7309795030" xr:uid="{8C486951-457A-486A-9F45-AA8C23748C97}"/>
    <hyperlink ref="A99" r:id="rId75" display="https://www.amazon.es/vine/vine-items?queue=encore&amp;pn=5866088031&amp;cn=16626319030" xr:uid="{934C29C0-0545-4594-9BB8-48C1900B6694}"/>
    <hyperlink ref="A100" r:id="rId76" display="https://www.amazon.es/vine/vine-items?queue=encore&amp;pn=5866088031&amp;cn=11607087030" xr:uid="{F496C59E-64DD-4E77-A29E-3BAFA12F9AA5}"/>
    <hyperlink ref="A101" r:id="rId77" display="https://www.amazon.es/vine/vine-items?queue=encore&amp;pn=5866088031&amp;cn=11606829030" xr:uid="{C136D4B0-6CA0-49E4-85F1-DD23D5479E89}"/>
    <hyperlink ref="A102" r:id="rId78" display="https://www.amazon.es/vine/vine-items?queue=encore&amp;pn=5866088031&amp;cn=7695796030" xr:uid="{AE57E142-1557-4910-87B6-6EA4B32B41C5}"/>
    <hyperlink ref="A103" r:id="rId79" display="https://www.amazon.es/vine/vine-items?queue=encore&amp;pn=5866088031&amp;cn=17860901030" xr:uid="{D23131B8-4CC9-4F39-AE0B-3AC6B2466677}"/>
    <hyperlink ref="A104" r:id="rId80" display="https://www.amazon.es/vine/vine-items?queue=encore&amp;pn=5866088031&amp;cn=7695797030" xr:uid="{908ADEA5-3A5F-4956-B97A-B5E2533D367C}"/>
    <hyperlink ref="A105" r:id="rId81" display="https://www.amazon.es/vine/vine-items?queue=encore&amp;pn=5866088031&amp;cn=7695798030" xr:uid="{43AD063D-6804-4CDC-A0C8-180525ECB0A2}"/>
    <hyperlink ref="A106" r:id="rId82" display="https://www.amazon.es/vine/vine-items?queue=encore&amp;pn=5866088031&amp;cn=7695800030" xr:uid="{5903DFC9-736A-4445-A098-DE095AB76E29}"/>
    <hyperlink ref="A107" r:id="rId83" display="https://www.amazon.es/vine/vine-items?queue=encore&amp;pn=5866088031&amp;cn=7309800030" xr:uid="{98B75DE9-53F3-4FAF-A51E-610C4C483E99}"/>
    <hyperlink ref="A108" r:id="rId84" display="https://www.amazon.es/vine/vine-items?queue=encore&amp;pn=5866088031&amp;cn=7309798030" xr:uid="{84A29EC3-E975-4879-B484-C72BDB4BE674}"/>
    <hyperlink ref="A109" r:id="rId85" display="https://www.amazon.es/vine/vine-items?queue=encore&amp;pn=5866088031&amp;cn=7309802030" xr:uid="{F5F9BD66-0369-4DDB-A595-B06674421BE8}"/>
    <hyperlink ref="A110" r:id="rId86" display="https://www.amazon.es/vine/vine-items?queue=encore&amp;pn=5866088031&amp;cn=5866088031" xr:uid="{AC3FE63C-0FA9-4932-BEF0-EF7AD09A926A}"/>
    <hyperlink ref="A111" r:id="rId87" display="https://www.amazon.es/vine/vine-items?queue=encore&amp;pn=5866088031&amp;cn=7309799030" xr:uid="{860F72A7-FE61-4575-8784-D6DD5A02F611}"/>
    <hyperlink ref="A112" r:id="rId88" display="https://www.amazon.es/vine/vine-items?queue=encore&amp;pn=5866088031&amp;cn=7309790030" xr:uid="{0D595761-6AD7-4348-B730-E1B451938ED4}"/>
    <hyperlink ref="A113" r:id="rId89" display="https://www.amazon.es/vine/vine-items?queue=encore&amp;pn=5866088031&amp;cn=7695795030" xr:uid="{D741E6F9-AB20-48CE-9065-C0E371D03DFC}"/>
    <hyperlink ref="A114" r:id="rId90" display="https://www.amazon.es/vine/vine-items?queue=encore&amp;pn=5866088031&amp;cn=7695799030" xr:uid="{1442FD21-C908-48FE-B7CF-6FAC903F78AD}"/>
    <hyperlink ref="A115" r:id="rId91" display="https://www.amazon.es/vine/vine-items?queue=encore&amp;pn=5866088031&amp;cn=7695801030" xr:uid="{C2595E11-B003-42BC-BBC8-6BB299B2E6EA}"/>
    <hyperlink ref="A117" r:id="rId92" display="https://www.amazon.es/vine/vine-items?queue=encore&amp;pn=1571259031" xr:uid="{00C3939F-3BAE-45D7-B972-A90253BD64D6}"/>
    <hyperlink ref="A118" r:id="rId93" display="https://www.amazon.es/vine/vine-items?queue=encore&amp;pn=1571259031&amp;cn=6933299030" xr:uid="{5C937614-A5A1-4CAA-AB22-A79B0CBD6C92}"/>
    <hyperlink ref="A119" r:id="rId94" display="https://www.amazon.es/vine/vine-items?queue=encore&amp;pn=1571259031&amp;cn=6933545030" xr:uid="{3A433023-7016-44D3-90BB-708A08720B0D}"/>
    <hyperlink ref="A120" r:id="rId95" display="https://www.amazon.es/vine/vine-items?queue=encore&amp;pn=1571259031&amp;cn=6933839030" xr:uid="{B5A0A136-43A1-4EA7-B5D1-4F648D8BBF92}"/>
    <hyperlink ref="A121" r:id="rId96" display="https://www.amazon.es/vine/vine-items?queue=encore&amp;pn=1571259031&amp;cn=6933219030" xr:uid="{3A76C3C6-B2C1-4DBA-898E-732D29F5915C}"/>
    <hyperlink ref="A122" r:id="rId97" display="https://www.amazon.es/vine/vine-items?queue=encore&amp;pn=1571259031&amp;cn=6933479030" xr:uid="{81E46124-2063-4BB7-BFE7-597752CB2964}"/>
    <hyperlink ref="A123" r:id="rId98" display="https://www.amazon.es/vine/vine-items?queue=encore&amp;pn=1571259031&amp;cn=6933766030" xr:uid="{D69E9BEA-E317-49F2-9BA1-51AB5372EA9E}"/>
    <hyperlink ref="A124" r:id="rId99" display="https://www.amazon.es/vine/vine-items?queue=encore&amp;pn=1571259031&amp;cn=29481163030" xr:uid="{1A3E48C0-035C-4123-9981-B0F1B76E68A4}"/>
    <hyperlink ref="A125" r:id="rId100" display="https://www.amazon.es/vine/vine-items?queue=encore&amp;pn=1571259031&amp;cn=6933193030" xr:uid="{249D696A-2431-48E6-B586-DD0460C4AEE2}"/>
    <hyperlink ref="A126" r:id="rId101" display="https://www.amazon.es/vine/vine-items?queue=encore&amp;pn=1571259031&amp;cn=6933953030" xr:uid="{76DF40AE-99AD-46F9-B9A2-17151F439D18}"/>
    <hyperlink ref="A128" r:id="rId102" display="https://www.amazon.es/vine/vine-items?queue=encore&amp;pn=599385031" xr:uid="{E5CC1D45-9ABF-4B37-81B7-F10C6635981F}"/>
    <hyperlink ref="A129" r:id="rId103" display="https://www.amazon.es/vine/vine-items?queue=encore&amp;pn=599385031&amp;cn=2407076030" xr:uid="{EFF12BFB-60B2-4F40-B452-069CCC447B08}"/>
    <hyperlink ref="A130" r:id="rId104" display="https://www.amazon.es/vine/vine-items?queue=encore&amp;pn=599385031&amp;cn=2406884030" xr:uid="{8DB73174-2E3B-4933-8F67-ED1522F4E72B}"/>
    <hyperlink ref="A131" r:id="rId105" display="https://www.amazon.es/vine/vine-items?queue=encore&amp;pn=599385031&amp;cn=2407291030" xr:uid="{BA9E3560-2474-45D0-BEF9-02FFE85788BD}"/>
    <hyperlink ref="A132" r:id="rId106" display="https://www.amazon.es/vine/vine-items?queue=encore&amp;pn=599385031&amp;cn=2407258030" xr:uid="{74020AA2-2280-4CAB-85D5-04ECF36A3E2E}"/>
    <hyperlink ref="A133" r:id="rId107" display="https://www.amazon.es/vine/vine-items?queue=encore&amp;pn=599385031&amp;cn=2406927030" xr:uid="{CEB96DDC-BC18-41A5-A596-67025530BE21}"/>
    <hyperlink ref="A134" r:id="rId108" display="https://www.amazon.es/vine/vine-items?queue=encore&amp;pn=599385031&amp;cn=2406990030" xr:uid="{328CF836-DD4C-4376-99ED-DACAD339D91C}"/>
    <hyperlink ref="A135" r:id="rId109" display="https://www.amazon.es/vine/vine-items?queue=encore&amp;pn=599385031&amp;cn=2407026030" xr:uid="{6E43D6E4-E37A-4604-A377-3D2209C8D08A}"/>
    <hyperlink ref="A136" r:id="rId110" display="https://www.amazon.es/vine/vine-items?queue=encore&amp;pn=599385031&amp;cn=2407232030" xr:uid="{D3D7CC1F-90F0-4CD6-B77B-09BC755AD8B9}"/>
    <hyperlink ref="A137" r:id="rId111" display="https://www.amazon.es/vine/vine-items?queue=encore&amp;pn=599385031&amp;cn=2407281030" xr:uid="{94D97FBF-4C72-4311-8739-11140A44F478}"/>
    <hyperlink ref="A138" r:id="rId112" display="https://www.amazon.es/vine/vine-items?queue=encore&amp;pn=599385031&amp;cn=2407120030" xr:uid="{552BC1CF-E924-448C-96CF-C9F2797F9BC1}"/>
    <hyperlink ref="A139" r:id="rId113" display="https://www.amazon.es/vine/vine-items?queue=encore&amp;pn=599385031&amp;cn=2407143030" xr:uid="{0420D540-E514-4FCC-ABCF-1A4A0BA813E1}"/>
    <hyperlink ref="A140" r:id="rId114" display="https://www.amazon.es/vine/vine-items?queue=encore&amp;pn=599385031&amp;cn=16215301030" xr:uid="{F2A444B7-3A02-4322-9C8D-F40F79E7263D}"/>
    <hyperlink ref="A142" r:id="rId115" display="https://www.amazon.es/vine/vine-items?queue=encore&amp;pn=3628728031" xr:uid="{1945D23D-363E-4384-955B-7199D23D0DFF}"/>
    <hyperlink ref="A143" r:id="rId116" display="https://www.amazon.es/vine/vine-items?queue=encore&amp;pn=3628728031&amp;cn=5279417030" xr:uid="{4CD2793C-3071-483D-A189-1AD26EAD2B13}"/>
    <hyperlink ref="A144" r:id="rId117" display="https://www.amazon.es/vine/vine-items?queue=encore&amp;pn=3628728031&amp;cn=5279420030" xr:uid="{69EBE36D-9CD6-4E25-8D55-7C607608096F}"/>
    <hyperlink ref="A145" r:id="rId118" display="https://www.amazon.es/vine/vine-items?queue=encore&amp;pn=3628728031&amp;cn=5279414030" xr:uid="{99B9CDF3-6810-4A47-ADD3-E11C5E7C5549}"/>
    <hyperlink ref="A146" r:id="rId119" display="https://www.amazon.es/vine/vine-items?queue=encore&amp;pn=3628728031&amp;cn=5279418030" xr:uid="{71D0C2F7-1D72-4521-8739-BDA17295F7F2}"/>
    <hyperlink ref="A147" r:id="rId120" display="https://www.amazon.es/vine/vine-items?queue=encore&amp;pn=3628728031&amp;cn=5279415030" xr:uid="{388D6603-ADB4-4684-AE49-368B22F819B8}"/>
    <hyperlink ref="A148" r:id="rId121" display="https://www.amazon.es/vine/vine-items?queue=encore&amp;pn=3628728031&amp;cn=5279416030" xr:uid="{33FEDE97-1BF6-486E-9077-9A644708E1F5}"/>
    <hyperlink ref="A149" r:id="rId122" display="https://www.amazon.es/vine/vine-items?queue=encore&amp;pn=3628728031&amp;cn=5279421030" xr:uid="{54E0D88B-4571-4C40-A65F-7F2AF3AD2E1B}"/>
    <hyperlink ref="A151" r:id="rId123" display="https://www.amazon.es/vine/vine-items?queue=encore&amp;pn=3564289031" xr:uid="{74A4537B-509E-40D5-B142-A845D372155E}"/>
    <hyperlink ref="A152" r:id="rId124" display="https://www.amazon.es/vine/vine-items?queue=encore&amp;pn=3564289031&amp;cn=5121400030" xr:uid="{D59A5700-1C7C-42AC-9B8A-DAEFBA1E9507}"/>
    <hyperlink ref="A153" r:id="rId125" display="https://www.amazon.es/vine/vine-items?queue=encore&amp;pn=3564289031&amp;cn=5121397030" xr:uid="{9E82D430-0A21-4CA1-805B-76C4E8AAC108}"/>
    <hyperlink ref="A154" r:id="rId126" display="https://www.amazon.es/vine/vine-items?queue=encore&amp;pn=3564289031&amp;cn=23372600030" xr:uid="{7A1E123C-E37F-4EB0-8557-9D75EDD6802A}"/>
    <hyperlink ref="A155" r:id="rId127" display="https://www.amazon.es/vine/vine-items?queue=encore&amp;pn=3564289031&amp;cn=5121399030" xr:uid="{B91E46A5-0FD1-4A40-A1A7-966F308D6CED}"/>
    <hyperlink ref="A157" r:id="rId128" display="https://www.amazon.es/vine/vine-items?queue=encore&amp;pn=12472654031" xr:uid="{BE3DAF70-06A7-45F1-A0C5-D8F3E2EDF00D}"/>
    <hyperlink ref="A158" r:id="rId129" display="https://www.amazon.es/vine/vine-items?queue=encore&amp;pn=12472654031&amp;cn=15007295030" xr:uid="{2C750A84-012B-4BBA-9896-6041C8CDE5EA}"/>
    <hyperlink ref="A159" r:id="rId130" display="https://www.amazon.es/vine/vine-items?queue=encore&amp;pn=12472654031&amp;cn=15007289030" xr:uid="{DCBFD81C-9EE0-4755-99E6-919FE647B011}"/>
    <hyperlink ref="A160" r:id="rId131" display="https://www.amazon.es/vine/vine-items?queue=encore&amp;pn=12472654031&amp;cn=12472654031" xr:uid="{FB6CE050-5CF6-45D6-B3CF-9B2C27B8DA8B}"/>
    <hyperlink ref="A161" r:id="rId132" display="https://www.amazon.es/vine/vine-items?queue=encore&amp;pn=12472654031&amp;cn=15007293030" xr:uid="{F32DE8D2-EB66-4265-811D-DF3F25DC478D}"/>
    <hyperlink ref="A162" r:id="rId133" display="https://www.amazon.es/vine/vine-items?queue=encore&amp;pn=12472654031&amp;cn=15007290030" xr:uid="{061D6CDD-2AF7-439B-ADB9-2AFB3012B938}"/>
    <hyperlink ref="A163" r:id="rId134" display="https://www.amazon.es/vine/vine-items?queue=encore&amp;pn=12472654031&amp;cn=15007296030" xr:uid="{E1FE28EC-1518-4315-AC45-9391E657F435}"/>
    <hyperlink ref="A164" r:id="rId135" display="https://www.amazon.es/vine/vine-items?queue=encore&amp;pn=12472654031&amp;cn=15007292030" xr:uid="{140B08E0-1AB3-473B-BFE7-CA4B6146111A}"/>
    <hyperlink ref="A166" r:id="rId136" display="https://www.amazon.es/vine/vine-items?queue=encore&amp;pn=1703495031" xr:uid="{6568D645-231B-4F98-A793-C7DC6CC5E41F}"/>
    <hyperlink ref="A167" r:id="rId137" display="https://www.amazon.es/vine/vine-items?queue=encore&amp;pn=1703495031&amp;cn=2642993030" xr:uid="{786BA23D-3FBE-4069-8E76-02372F80070B}"/>
    <hyperlink ref="A168" r:id="rId138" display="https://www.amazon.es/vine/vine-items?queue=encore&amp;pn=1703495031&amp;cn=2642992030" xr:uid="{08E90C9F-2209-43D9-AFB4-A2734676028B}"/>
    <hyperlink ref="A169" r:id="rId139" display="https://www.amazon.es/vine/vine-items?queue=encore&amp;pn=1703495031&amp;cn=2642991030" xr:uid="{996AB39B-2187-4BB6-8E5B-5B03007192DA}"/>
    <hyperlink ref="A170" r:id="rId140" display="https://www.amazon.es/vine/vine-items?queue=encore&amp;pn=1703495031&amp;cn=2643005030" xr:uid="{07EB9E46-D698-4DDF-9716-3B08F23AFC1F}"/>
    <hyperlink ref="A171" r:id="rId141" display="https://www.amazon.es/vine/vine-items?queue=encore&amp;pn=1703495031&amp;cn=2642990030" xr:uid="{E9C063FE-CC2F-483B-A2DE-D4864E3AB1B7}"/>
    <hyperlink ref="A172" r:id="rId142" display="https://www.amazon.es/vine/vine-items?queue=encore&amp;pn=1703495031&amp;cn=2642997030" xr:uid="{94682D3B-F73A-4643-870C-B26CB6103C54}"/>
    <hyperlink ref="A174" r:id="rId143" display="https://www.amazon.es/vine/vine-items?queue=encore&amp;pn=3677430031" xr:uid="{15B80C03-E12B-43C1-970C-EA078FC5CF92}"/>
    <hyperlink ref="A175" r:id="rId144" display="https://www.amazon.es/vine/vine-items?queue=encore&amp;pn=3677430031&amp;cn=5273066030" xr:uid="{9AD716D9-E06D-484C-85C7-A1298E805F4D}"/>
    <hyperlink ref="A176" r:id="rId145" display="https://www.amazon.es/vine/vine-items?queue=encore&amp;pn=3677430031&amp;cn=5273064030" xr:uid="{0AD276C6-4995-4AB5-A50E-48DD7A25D227}"/>
    <hyperlink ref="A177" r:id="rId146" display="https://www.amazon.es/vine/vine-items?queue=encore&amp;pn=3677430031&amp;cn=5273062030" xr:uid="{D1D6BD32-64D8-4863-8820-64FDFAB7170E}"/>
    <hyperlink ref="A178" r:id="rId147" display="https://www.amazon.es/vine/vine-items?queue=encore&amp;pn=3677430031&amp;cn=5273060030" xr:uid="{034E6300-7E49-4C2E-A0C3-9A20E2392B59}"/>
    <hyperlink ref="A179" r:id="rId148" display="https://www.amazon.es/vine/vine-items?queue=encore&amp;pn=3677430031&amp;cn=7480877030" xr:uid="{898CA262-B885-4411-B9D3-97AD3C8F2AF8}"/>
    <hyperlink ref="A180" r:id="rId149" display="https://www.amazon.es/vine/vine-items?queue=encore&amp;pn=3677430031&amp;cn=5273219030" xr:uid="{4E2A12EF-62F5-4538-A63A-F29671ECA544}"/>
    <hyperlink ref="A181" r:id="rId150" display="https://www.amazon.es/vine/vine-items?queue=encore&amp;pn=3677430031&amp;cn=7346366030" xr:uid="{013C62EE-73D0-4F78-8717-D6765718E50C}"/>
    <hyperlink ref="A183" r:id="rId151" display="https://www.amazon.es/vine/vine-items?queue=encore&amp;pn=599382031" xr:uid="{500F6E0E-BAE6-4446-A58E-CBDA5C11A219}"/>
    <hyperlink ref="A184" r:id="rId152" display="https://www.amazon.es/vine/vine-items?queue=encore&amp;pn=599382031&amp;cn=599382031" xr:uid="{F294C89D-F86E-4714-B09F-F6FBD54C6D21}"/>
    <hyperlink ref="A185" r:id="rId153" display="https://www.amazon.es/vine/vine-items?queue=encore&amp;pn=599382031&amp;cn=206234223030" xr:uid="{10B567D0-3F49-4EA7-9EB9-C6B501EAACE5}"/>
    <hyperlink ref="A186" r:id="rId154" display="https://www.amazon.es/vine/vine-items?queue=encore&amp;pn=599382031&amp;cn=29989371030" xr:uid="{7C04451C-32BE-420A-96E1-A44BE5F7DC0C}"/>
    <hyperlink ref="A187" r:id="rId155" display="https://www.amazon.es/vine/vine-items?queue=encore&amp;pn=599382031&amp;cn=13847457030" xr:uid="{E93126E4-A02C-407F-A3A4-F25328201171}"/>
    <hyperlink ref="A188" r:id="rId156" display="https://www.amazon.es/vine/vine-items?queue=encore&amp;pn=599382031&amp;cn=23499754030" xr:uid="{AF233729-E77D-4C95-A4AF-2914995D8773}"/>
    <hyperlink ref="A189" r:id="rId157" display="https://www.amazon.es/vine/vine-items?queue=encore&amp;pn=599382031&amp;cn=25447187030" xr:uid="{8124CF43-FCB8-49AB-9F83-133B08D65CD9}"/>
    <hyperlink ref="A191" r:id="rId158" display="https://www.amazon.es/vine/vine-items?queue=encore&amp;pn=4772050031" xr:uid="{1A4B134D-3E3B-4515-9468-9C12DA14FE67}"/>
    <hyperlink ref="A192" r:id="rId159" display="https://www.amazon.es/vine/vine-items?queue=encore&amp;pn=4772050031&amp;cn=16260529030" xr:uid="{C3BB4FA9-919C-4C50-B81F-F629900261A4}"/>
    <hyperlink ref="A194" r:id="rId160" display="https://www.amazon.es/vine/vine-items?queue=encore&amp;pn=3628866031" xr:uid="{6CD2585F-2C21-4B98-9397-49507C731FC8}"/>
    <hyperlink ref="A195" r:id="rId161" display="https://www.amazon.es/vine/vine-items?queue=encore&amp;pn=3628866031&amp;cn=5917450030" xr:uid="{D42D4A42-858C-4D2F-B390-4C4F3430644C}"/>
    <hyperlink ref="A196" r:id="rId162" display="https://www.amazon.es/vine/vine-items?queue=encore&amp;pn=3628866031&amp;cn=5917451030" xr:uid="{AFCCC9A5-BB6F-4610-9BF0-6F42CB77249E}"/>
    <hyperlink ref="A197" r:id="rId163" display="https://www.amazon.es/vine/vine-items?queue=encore&amp;pn=3628866031&amp;cn=5917441030" xr:uid="{7F7F9955-5519-4145-8D3F-2C919510B59D}"/>
    <hyperlink ref="A198" r:id="rId164" display="https://www.amazon.es/vine/vine-items?queue=encore&amp;pn=3628866031&amp;cn=5917448030" xr:uid="{B01BAABD-988F-4247-B4A1-A0E2F90BCC36}"/>
    <hyperlink ref="A199" r:id="rId165" display="https://www.amazon.es/vine/vine-items?queue=encore&amp;pn=3628866031&amp;cn=5917447030" xr:uid="{526B2E1A-3F9B-4FC8-954F-8DD3D203A7C9}"/>
    <hyperlink ref="A200" r:id="rId166" display="https://www.amazon.es/vine/vine-items?queue=encore&amp;pn=3628866031&amp;cn=5917446030" xr:uid="{B48AA8C0-6263-4833-8EF7-A00633323262}"/>
    <hyperlink ref="A201" r:id="rId167" display="https://www.amazon.es/vine/vine-items?queue=encore&amp;pn=3628866031&amp;cn=5917453030" xr:uid="{F8454416-CCFD-4AB2-AC0C-12D5EF793E7C}"/>
    <hyperlink ref="A203" r:id="rId168" display="https://www.amazon.es/vine/vine-items?queue=encore&amp;pn=6198072031" xr:uid="{C0D50919-5C0D-4E25-98E6-B354F0F6A7E3}"/>
    <hyperlink ref="A204" r:id="rId169" display="https://www.amazon.es/vine/vine-items?queue=encore&amp;pn=6198072031&amp;cn=7370998030" xr:uid="{538114E8-6218-4948-B7BA-11806714FC13}"/>
    <hyperlink ref="A206" r:id="rId170" display="https://www.amazon.es/vine/vine-items?queue=encore&amp;pn=6198054031" xr:uid="{2F7BFE83-8293-4819-8985-1C72D3E8E8F0}"/>
    <hyperlink ref="A207" r:id="rId171" display="https://www.amazon.es/vine/vine-items?queue=encore&amp;pn=6198054031&amp;cn=5273058030" xr:uid="{4E61533C-CC1A-4FBD-905E-67F52D13F51A}"/>
    <hyperlink ref="A208" r:id="rId172" display="https://www.amazon.es/vine/vine-items?queue=encore&amp;pn=6198054031&amp;cn=5273878030" xr:uid="{9D4F32A0-9BB0-4526-BE2F-B256B0907216}"/>
    <hyperlink ref="A209" r:id="rId173" display="https://www.amazon.es/vine/vine-items?queue=encore&amp;pn=6198054031&amp;cn=7397448030" xr:uid="{708E687D-6EF6-4B1B-B044-43BEEE34C7E3}"/>
    <hyperlink ref="A210" r:id="rId174" display="https://www.amazon.es/vine/vine-items?queue=encore&amp;pn=6198054031&amp;cn=30274096030" xr:uid="{8ED5DD09-3F9F-4736-A07B-CB6BC12926CA}"/>
    <hyperlink ref="A211" r:id="rId175" display="https://www.amazon.es/vine/vine-items?queue=encore&amp;pn=6198054031&amp;cn=5273856030" xr:uid="{D9A7FD81-B73C-45B7-B14D-9780F74C7000}"/>
    <hyperlink ref="A213" r:id="rId176" display="https://www.amazon.es/vine/vine-items?queue=encore&amp;pn=667040031" xr:uid="{C5CF05FA-50F8-4F46-9F0C-F5C91882A3E3}"/>
    <hyperlink ref="A214" r:id="rId177" display="https://www.amazon.es/vine/vine-items?queue=encore&amp;pn=667040031&amp;cn=667040031" xr:uid="{342EEC47-D8C9-41A9-A1C3-1C00E24FBADB}"/>
    <hyperlink ref="A2" r:id="rId178" display="https://www.amazon.es/vine/vine-items?queue=encore&amp;pn=599370031" xr:uid="{677E1BE5-E7B6-4A29-87A1-40DF155B186E}"/>
    <hyperlink ref="A3" r:id="rId179" display="https://www.amazon.es/vine/vine-items?queue=encore&amp;pn=599370031&amp;cn=1397144030" xr:uid="{DBEF61D7-F178-4830-8499-6BE78F66D3BB}"/>
    <hyperlink ref="A4" r:id="rId180" display="https://www.amazon.es/vine/vine-items?queue=encore&amp;pn=599370031&amp;cn=19813440030" xr:uid="{72B323B7-7EFB-47F3-BBD2-BC9F87878D6C}"/>
    <hyperlink ref="A5" r:id="rId181" display="https://www.amazon.es/vine/vine-items?queue=encore&amp;pn=599370031&amp;cn=19808502030" xr:uid="{0EE03DFD-87C8-40B8-B2FB-CD08FC015905}"/>
    <hyperlink ref="A6" r:id="rId182" display="https://www.amazon.es/vine/vine-items?queue=encore&amp;pn=599370031&amp;cn=1396269030" xr:uid="{16F74E79-B6BB-4122-8A2A-0D5596BB5384}"/>
    <hyperlink ref="A7" r:id="rId183" display="https://www.amazon.es/vine/vine-items?queue=encore&amp;pn=599370031&amp;cn=1396270030" xr:uid="{CD4F1060-D0C2-409D-BD0E-DC778FD22D7E}"/>
    <hyperlink ref="A8" r:id="rId184" display="https://www.amazon.es/vine/vine-items?queue=encore&amp;pn=599370031&amp;cn=1397126030" xr:uid="{6E2694C9-DF1C-4849-98FD-139216E9E681}"/>
    <hyperlink ref="A9" r:id="rId185" display="https://www.amazon.es/vine/vine-items?queue=encore&amp;pn=599370031&amp;cn=1397128030" xr:uid="{42F1885C-B30C-4522-8F9C-4EC2CE5923B7}"/>
    <hyperlink ref="A10" r:id="rId186" display="https://www.amazon.es/vine/vine-items?queue=encore&amp;pn=599370031&amp;cn=1670550030" xr:uid="{979AC0EE-5832-4973-A4C9-AA2183950BCE}"/>
    <hyperlink ref="A11" r:id="rId187" display="https://www.amazon.es/vine/vine-items?queue=encore&amp;pn=599370031&amp;cn=1714944030" xr:uid="{F6A8B87C-29F6-4F95-A9BF-BA079AD98A66}"/>
    <hyperlink ref="A12" r:id="rId188" display="https://www.amazon.es/vine/vine-items?queue=encore&amp;pn=599370031&amp;cn=1670553030" xr:uid="{5920294C-3151-43B6-89F4-E47AE4B09902}"/>
    <hyperlink ref="A13" r:id="rId189" display="https://www.amazon.es/vine/vine-items?queue=encore&amp;pn=599370031&amp;cn=1396271030" xr:uid="{A841B05B-FDA5-43FE-8A77-DEE9F8613833}"/>
    <hyperlink ref="A14" r:id="rId190" display="https://www.amazon.es/vine/vine-items?queue=encore&amp;pn=599370031&amp;cn=1676614030" xr:uid="{73943EE1-CE86-4693-A378-5922E461E955}"/>
    <hyperlink ref="A15" r:id="rId191" display="https://www.amazon.es/vine/vine-items?queue=encore&amp;pn=599370031&amp;cn=1670552030" xr:uid="{F1521DD1-3201-4A9D-BCFF-409C8F63B66B}"/>
    <hyperlink ref="A16" r:id="rId192" display="https://www.amazon.es/vine/vine-items?queue=encore&amp;pn=599370031&amp;cn=599370031" xr:uid="{937ADBE2-E9A6-41C1-9AD8-020BD3EA7F46}"/>
    <hyperlink ref="A17" r:id="rId193" display="https://www.amazon.es/vine/vine-items?queue=encore&amp;pn=599370031&amp;cn=1670551030" xr:uid="{293D391E-0BEA-4F7A-BE7B-619B7E08E91E}"/>
  </hyperlinks>
  <pageMargins left="0.7" right="0.7" top="0.75" bottom="0.75" header="0.3" footer="0.3"/>
  <drawing r:id="rId19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B240-B365-4E6C-9676-29E1FD1F92FE}">
  <sheetPr codeName="Sheet5"/>
  <dimension ref="A1:B193"/>
  <sheetViews>
    <sheetView topLeftCell="A161" workbookViewId="0">
      <selection sqref="A1:B193"/>
    </sheetView>
  </sheetViews>
  <sheetFormatPr defaultRowHeight="15" x14ac:dyDescent="0.25"/>
  <sheetData>
    <row r="1" spans="1:2" x14ac:dyDescent="0.25">
      <c r="A1" t="s">
        <v>387</v>
      </c>
      <c r="B1" t="s">
        <v>388</v>
      </c>
    </row>
    <row r="2" spans="1:2" x14ac:dyDescent="0.25">
      <c r="A2" t="s">
        <v>387</v>
      </c>
      <c r="B2" t="s">
        <v>389</v>
      </c>
    </row>
    <row r="3" spans="1:2" x14ac:dyDescent="0.25">
      <c r="A3" t="s">
        <v>387</v>
      </c>
      <c r="B3" t="s">
        <v>390</v>
      </c>
    </row>
    <row r="4" spans="1:2" x14ac:dyDescent="0.25">
      <c r="A4" t="s">
        <v>387</v>
      </c>
      <c r="B4" t="s">
        <v>391</v>
      </c>
    </row>
    <row r="5" spans="1:2" x14ac:dyDescent="0.25">
      <c r="A5" t="s">
        <v>387</v>
      </c>
      <c r="B5" t="s">
        <v>392</v>
      </c>
    </row>
    <row r="6" spans="1:2" x14ac:dyDescent="0.25">
      <c r="A6" t="s">
        <v>387</v>
      </c>
      <c r="B6" t="s">
        <v>393</v>
      </c>
    </row>
    <row r="7" spans="1:2" x14ac:dyDescent="0.25">
      <c r="A7" t="s">
        <v>387</v>
      </c>
      <c r="B7" t="s">
        <v>394</v>
      </c>
    </row>
    <row r="8" spans="1:2" x14ac:dyDescent="0.25">
      <c r="A8" t="s">
        <v>387</v>
      </c>
      <c r="B8" t="s">
        <v>395</v>
      </c>
    </row>
    <row r="9" spans="1:2" x14ac:dyDescent="0.25">
      <c r="A9" t="s">
        <v>387</v>
      </c>
      <c r="B9" t="s">
        <v>396</v>
      </c>
    </row>
    <row r="10" spans="1:2" x14ac:dyDescent="0.25">
      <c r="A10" t="s">
        <v>387</v>
      </c>
      <c r="B10" t="s">
        <v>397</v>
      </c>
    </row>
    <row r="11" spans="1:2" x14ac:dyDescent="0.25">
      <c r="A11" t="s">
        <v>387</v>
      </c>
      <c r="B11" t="s">
        <v>398</v>
      </c>
    </row>
    <row r="12" spans="1:2" x14ac:dyDescent="0.25">
      <c r="A12" t="s">
        <v>387</v>
      </c>
      <c r="B12" t="s">
        <v>399</v>
      </c>
    </row>
    <row r="13" spans="1:2" x14ac:dyDescent="0.25">
      <c r="A13" t="s">
        <v>387</v>
      </c>
      <c r="B13" t="s">
        <v>400</v>
      </c>
    </row>
    <row r="14" spans="1:2" x14ac:dyDescent="0.25">
      <c r="A14" t="s">
        <v>387</v>
      </c>
      <c r="B14" t="s">
        <v>401</v>
      </c>
    </row>
    <row r="15" spans="1:2" x14ac:dyDescent="0.25">
      <c r="A15" t="s">
        <v>387</v>
      </c>
      <c r="B15" t="s">
        <v>387</v>
      </c>
    </row>
    <row r="16" spans="1:2" x14ac:dyDescent="0.25">
      <c r="A16" t="s">
        <v>387</v>
      </c>
      <c r="B16" t="s">
        <v>402</v>
      </c>
    </row>
    <row r="17" spans="1:2" x14ac:dyDescent="0.25">
      <c r="A17" t="s">
        <v>403</v>
      </c>
      <c r="B17" t="s">
        <v>388</v>
      </c>
    </row>
    <row r="18" spans="1:2" x14ac:dyDescent="0.25">
      <c r="A18" t="s">
        <v>403</v>
      </c>
      <c r="B18" t="s">
        <v>404</v>
      </c>
    </row>
    <row r="19" spans="1:2" x14ac:dyDescent="0.25">
      <c r="A19" t="s">
        <v>403</v>
      </c>
      <c r="B19" t="s">
        <v>405</v>
      </c>
    </row>
    <row r="20" spans="1:2" x14ac:dyDescent="0.25">
      <c r="A20" t="s">
        <v>403</v>
      </c>
      <c r="B20" t="s">
        <v>406</v>
      </c>
    </row>
    <row r="21" spans="1:2" x14ac:dyDescent="0.25">
      <c r="A21" t="s">
        <v>403</v>
      </c>
      <c r="B21" t="s">
        <v>407</v>
      </c>
    </row>
    <row r="22" spans="1:2" x14ac:dyDescent="0.25">
      <c r="A22" t="s">
        <v>403</v>
      </c>
      <c r="B22" t="s">
        <v>408</v>
      </c>
    </row>
    <row r="23" spans="1:2" x14ac:dyDescent="0.25">
      <c r="A23" t="s">
        <v>403</v>
      </c>
      <c r="B23" t="s">
        <v>409</v>
      </c>
    </row>
    <row r="24" spans="1:2" x14ac:dyDescent="0.25">
      <c r="A24" t="s">
        <v>403</v>
      </c>
      <c r="B24" t="s">
        <v>410</v>
      </c>
    </row>
    <row r="25" spans="1:2" x14ac:dyDescent="0.25">
      <c r="A25" t="s">
        <v>403</v>
      </c>
      <c r="B25" t="s">
        <v>411</v>
      </c>
    </row>
    <row r="26" spans="1:2" x14ac:dyDescent="0.25">
      <c r="A26" t="s">
        <v>403</v>
      </c>
      <c r="B26" t="s">
        <v>412</v>
      </c>
    </row>
    <row r="27" spans="1:2" x14ac:dyDescent="0.25">
      <c r="A27" t="s">
        <v>403</v>
      </c>
      <c r="B27" t="s">
        <v>413</v>
      </c>
    </row>
    <row r="28" spans="1:2" x14ac:dyDescent="0.25">
      <c r="A28" t="s">
        <v>403</v>
      </c>
      <c r="B28" t="s">
        <v>414</v>
      </c>
    </row>
    <row r="29" spans="1:2" x14ac:dyDescent="0.25">
      <c r="A29" t="s">
        <v>403</v>
      </c>
      <c r="B29" t="s">
        <v>415</v>
      </c>
    </row>
    <row r="30" spans="1:2" x14ac:dyDescent="0.25">
      <c r="A30" t="s">
        <v>403</v>
      </c>
      <c r="B30" t="s">
        <v>416</v>
      </c>
    </row>
    <row r="31" spans="1:2" x14ac:dyDescent="0.25">
      <c r="A31" t="s">
        <v>403</v>
      </c>
      <c r="B31" t="s">
        <v>417</v>
      </c>
    </row>
    <row r="32" spans="1:2" x14ac:dyDescent="0.25">
      <c r="A32" t="s">
        <v>403</v>
      </c>
      <c r="B32" t="s">
        <v>418</v>
      </c>
    </row>
    <row r="33" spans="1:2" x14ac:dyDescent="0.25">
      <c r="A33" t="s">
        <v>403</v>
      </c>
      <c r="B33" t="s">
        <v>419</v>
      </c>
    </row>
    <row r="34" spans="1:2" x14ac:dyDescent="0.25">
      <c r="A34" t="s">
        <v>403</v>
      </c>
      <c r="B34" t="s">
        <v>403</v>
      </c>
    </row>
    <row r="35" spans="1:2" x14ac:dyDescent="0.25">
      <c r="A35" t="s">
        <v>403</v>
      </c>
      <c r="B35" t="s">
        <v>420</v>
      </c>
    </row>
    <row r="36" spans="1:2" x14ac:dyDescent="0.25">
      <c r="A36" t="s">
        <v>403</v>
      </c>
      <c r="B36" t="s">
        <v>421</v>
      </c>
    </row>
    <row r="37" spans="1:2" x14ac:dyDescent="0.25">
      <c r="A37" t="s">
        <v>422</v>
      </c>
      <c r="B37" t="s">
        <v>388</v>
      </c>
    </row>
    <row r="38" spans="1:2" x14ac:dyDescent="0.25">
      <c r="A38" t="s">
        <v>422</v>
      </c>
      <c r="B38" t="s">
        <v>423</v>
      </c>
    </row>
    <row r="39" spans="1:2" x14ac:dyDescent="0.25">
      <c r="A39" t="s">
        <v>422</v>
      </c>
      <c r="B39" t="s">
        <v>424</v>
      </c>
    </row>
    <row r="40" spans="1:2" x14ac:dyDescent="0.25">
      <c r="A40" t="s">
        <v>422</v>
      </c>
      <c r="B40" t="s">
        <v>425</v>
      </c>
    </row>
    <row r="41" spans="1:2" x14ac:dyDescent="0.25">
      <c r="A41" t="s">
        <v>422</v>
      </c>
      <c r="B41" t="s">
        <v>426</v>
      </c>
    </row>
    <row r="42" spans="1:2" x14ac:dyDescent="0.25">
      <c r="A42" t="s">
        <v>422</v>
      </c>
      <c r="B42" t="s">
        <v>427</v>
      </c>
    </row>
    <row r="43" spans="1:2" x14ac:dyDescent="0.25">
      <c r="A43" t="s">
        <v>422</v>
      </c>
      <c r="B43" t="s">
        <v>428</v>
      </c>
    </row>
    <row r="44" spans="1:2" x14ac:dyDescent="0.25">
      <c r="A44" t="s">
        <v>429</v>
      </c>
      <c r="B44" t="s">
        <v>388</v>
      </c>
    </row>
    <row r="45" spans="1:2" x14ac:dyDescent="0.25">
      <c r="A45" t="s">
        <v>429</v>
      </c>
      <c r="B45" t="s">
        <v>430</v>
      </c>
    </row>
    <row r="46" spans="1:2" x14ac:dyDescent="0.25">
      <c r="A46" t="s">
        <v>429</v>
      </c>
      <c r="B46" t="s">
        <v>431</v>
      </c>
    </row>
    <row r="47" spans="1:2" x14ac:dyDescent="0.25">
      <c r="A47" t="s">
        <v>429</v>
      </c>
      <c r="B47" t="s">
        <v>432</v>
      </c>
    </row>
    <row r="48" spans="1:2" x14ac:dyDescent="0.25">
      <c r="A48" t="s">
        <v>429</v>
      </c>
      <c r="B48" t="s">
        <v>433</v>
      </c>
    </row>
    <row r="49" spans="1:2" x14ac:dyDescent="0.25">
      <c r="A49" t="s">
        <v>429</v>
      </c>
      <c r="B49" t="s">
        <v>434</v>
      </c>
    </row>
    <row r="50" spans="1:2" x14ac:dyDescent="0.25">
      <c r="A50" t="s">
        <v>429</v>
      </c>
      <c r="B50" t="s">
        <v>435</v>
      </c>
    </row>
    <row r="51" spans="1:2" x14ac:dyDescent="0.25">
      <c r="A51" t="s">
        <v>429</v>
      </c>
      <c r="B51" t="s">
        <v>436</v>
      </c>
    </row>
    <row r="52" spans="1:2" x14ac:dyDescent="0.25">
      <c r="A52" t="s">
        <v>429</v>
      </c>
      <c r="B52" t="s">
        <v>437</v>
      </c>
    </row>
    <row r="53" spans="1:2" x14ac:dyDescent="0.25">
      <c r="A53" t="s">
        <v>429</v>
      </c>
      <c r="B53" t="s">
        <v>438</v>
      </c>
    </row>
    <row r="54" spans="1:2" x14ac:dyDescent="0.25">
      <c r="A54" t="s">
        <v>429</v>
      </c>
      <c r="B54" t="s">
        <v>429</v>
      </c>
    </row>
    <row r="55" spans="1:2" x14ac:dyDescent="0.25">
      <c r="A55" t="s">
        <v>429</v>
      </c>
      <c r="B55" t="s">
        <v>439</v>
      </c>
    </row>
    <row r="56" spans="1:2" x14ac:dyDescent="0.25">
      <c r="A56" t="s">
        <v>440</v>
      </c>
      <c r="B56" t="s">
        <v>388</v>
      </c>
    </row>
    <row r="57" spans="1:2" x14ac:dyDescent="0.25">
      <c r="A57" t="s">
        <v>440</v>
      </c>
      <c r="B57" t="s">
        <v>441</v>
      </c>
    </row>
    <row r="58" spans="1:2" x14ac:dyDescent="0.25">
      <c r="A58" t="s">
        <v>440</v>
      </c>
      <c r="B58" t="s">
        <v>442</v>
      </c>
    </row>
    <row r="59" spans="1:2" x14ac:dyDescent="0.25">
      <c r="A59" t="s">
        <v>440</v>
      </c>
      <c r="B59" t="s">
        <v>443</v>
      </c>
    </row>
    <row r="60" spans="1:2" x14ac:dyDescent="0.25">
      <c r="A60" t="s">
        <v>440</v>
      </c>
      <c r="B60" t="s">
        <v>444</v>
      </c>
    </row>
    <row r="61" spans="1:2" x14ac:dyDescent="0.25">
      <c r="A61" t="s">
        <v>440</v>
      </c>
      <c r="B61" t="s">
        <v>445</v>
      </c>
    </row>
    <row r="62" spans="1:2" x14ac:dyDescent="0.25">
      <c r="A62" t="s">
        <v>440</v>
      </c>
      <c r="B62" t="s">
        <v>446</v>
      </c>
    </row>
    <row r="63" spans="1:2" x14ac:dyDescent="0.25">
      <c r="A63" t="s">
        <v>440</v>
      </c>
      <c r="B63" t="s">
        <v>447</v>
      </c>
    </row>
    <row r="64" spans="1:2" x14ac:dyDescent="0.25">
      <c r="A64" t="s">
        <v>440</v>
      </c>
      <c r="B64" t="s">
        <v>448</v>
      </c>
    </row>
    <row r="65" spans="1:2" x14ac:dyDescent="0.25">
      <c r="A65" t="s">
        <v>440</v>
      </c>
      <c r="B65" t="s">
        <v>449</v>
      </c>
    </row>
    <row r="66" spans="1:2" x14ac:dyDescent="0.25">
      <c r="A66" t="s">
        <v>440</v>
      </c>
      <c r="B66" t="s">
        <v>440</v>
      </c>
    </row>
    <row r="67" spans="1:2" x14ac:dyDescent="0.25">
      <c r="A67" t="s">
        <v>440</v>
      </c>
      <c r="B67" t="s">
        <v>450</v>
      </c>
    </row>
    <row r="68" spans="1:2" x14ac:dyDescent="0.25">
      <c r="A68" t="s">
        <v>451</v>
      </c>
      <c r="B68" t="s">
        <v>388</v>
      </c>
    </row>
    <row r="69" spans="1:2" x14ac:dyDescent="0.25">
      <c r="A69" t="s">
        <v>451</v>
      </c>
      <c r="B69" t="s">
        <v>452</v>
      </c>
    </row>
    <row r="70" spans="1:2" x14ac:dyDescent="0.25">
      <c r="A70" t="s">
        <v>451</v>
      </c>
      <c r="B70" t="s">
        <v>453</v>
      </c>
    </row>
    <row r="71" spans="1:2" x14ac:dyDescent="0.25">
      <c r="A71" t="s">
        <v>451</v>
      </c>
      <c r="B71" t="s">
        <v>454</v>
      </c>
    </row>
    <row r="72" spans="1:2" x14ac:dyDescent="0.25">
      <c r="A72" t="s">
        <v>451</v>
      </c>
      <c r="B72" t="s">
        <v>455</v>
      </c>
    </row>
    <row r="73" spans="1:2" x14ac:dyDescent="0.25">
      <c r="A73" t="s">
        <v>451</v>
      </c>
      <c r="B73" t="s">
        <v>456</v>
      </c>
    </row>
    <row r="74" spans="1:2" x14ac:dyDescent="0.25">
      <c r="A74" t="s">
        <v>451</v>
      </c>
      <c r="B74" t="s">
        <v>457</v>
      </c>
    </row>
    <row r="75" spans="1:2" x14ac:dyDescent="0.25">
      <c r="A75" t="s">
        <v>451</v>
      </c>
      <c r="B75" t="s">
        <v>458</v>
      </c>
    </row>
    <row r="76" spans="1:2" x14ac:dyDescent="0.25">
      <c r="A76" t="s">
        <v>451</v>
      </c>
      <c r="B76" t="s">
        <v>459</v>
      </c>
    </row>
    <row r="77" spans="1:2" x14ac:dyDescent="0.25">
      <c r="A77" t="s">
        <v>451</v>
      </c>
      <c r="B77" t="s">
        <v>460</v>
      </c>
    </row>
    <row r="78" spans="1:2" x14ac:dyDescent="0.25">
      <c r="A78" t="s">
        <v>451</v>
      </c>
      <c r="B78" t="s">
        <v>461</v>
      </c>
    </row>
    <row r="79" spans="1:2" x14ac:dyDescent="0.25">
      <c r="A79" t="s">
        <v>462</v>
      </c>
      <c r="B79" t="s">
        <v>388</v>
      </c>
    </row>
    <row r="80" spans="1:2" x14ac:dyDescent="0.25">
      <c r="A80" t="s">
        <v>462</v>
      </c>
      <c r="B80" t="s">
        <v>463</v>
      </c>
    </row>
    <row r="81" spans="1:2" x14ac:dyDescent="0.25">
      <c r="A81" t="s">
        <v>462</v>
      </c>
      <c r="B81" t="s">
        <v>464</v>
      </c>
    </row>
    <row r="82" spans="1:2" x14ac:dyDescent="0.25">
      <c r="A82" t="s">
        <v>462</v>
      </c>
      <c r="B82" t="s">
        <v>465</v>
      </c>
    </row>
    <row r="83" spans="1:2" x14ac:dyDescent="0.25">
      <c r="A83" t="s">
        <v>462</v>
      </c>
      <c r="B83" t="s">
        <v>466</v>
      </c>
    </row>
    <row r="84" spans="1:2" x14ac:dyDescent="0.25">
      <c r="A84" t="s">
        <v>462</v>
      </c>
      <c r="B84" t="s">
        <v>467</v>
      </c>
    </row>
    <row r="85" spans="1:2" x14ac:dyDescent="0.25">
      <c r="A85" t="s">
        <v>462</v>
      </c>
      <c r="B85" t="s">
        <v>468</v>
      </c>
    </row>
    <row r="86" spans="1:2" x14ac:dyDescent="0.25">
      <c r="A86" t="s">
        <v>462</v>
      </c>
      <c r="B86" t="s">
        <v>469</v>
      </c>
    </row>
    <row r="87" spans="1:2" x14ac:dyDescent="0.25">
      <c r="A87" t="s">
        <v>462</v>
      </c>
      <c r="B87" t="s">
        <v>470</v>
      </c>
    </row>
    <row r="88" spans="1:2" x14ac:dyDescent="0.25">
      <c r="A88" t="s">
        <v>462</v>
      </c>
      <c r="B88" t="s">
        <v>462</v>
      </c>
    </row>
    <row r="89" spans="1:2" x14ac:dyDescent="0.25">
      <c r="A89" t="s">
        <v>471</v>
      </c>
      <c r="B89" t="s">
        <v>388</v>
      </c>
    </row>
    <row r="90" spans="1:2" x14ac:dyDescent="0.25">
      <c r="A90" t="s">
        <v>471</v>
      </c>
      <c r="B90" t="s">
        <v>472</v>
      </c>
    </row>
    <row r="91" spans="1:2" x14ac:dyDescent="0.25">
      <c r="A91" t="s">
        <v>471</v>
      </c>
      <c r="B91" t="s">
        <v>473</v>
      </c>
    </row>
    <row r="92" spans="1:2" x14ac:dyDescent="0.25">
      <c r="A92" t="s">
        <v>471</v>
      </c>
      <c r="B92" t="s">
        <v>474</v>
      </c>
    </row>
    <row r="93" spans="1:2" x14ac:dyDescent="0.25">
      <c r="A93" t="s">
        <v>471</v>
      </c>
      <c r="B93" t="s">
        <v>475</v>
      </c>
    </row>
    <row r="94" spans="1:2" x14ac:dyDescent="0.25">
      <c r="A94" t="s">
        <v>471</v>
      </c>
      <c r="B94" t="s">
        <v>476</v>
      </c>
    </row>
    <row r="95" spans="1:2" x14ac:dyDescent="0.25">
      <c r="A95" t="s">
        <v>471</v>
      </c>
      <c r="B95" t="s">
        <v>477</v>
      </c>
    </row>
    <row r="96" spans="1:2" x14ac:dyDescent="0.25">
      <c r="A96" t="s">
        <v>471</v>
      </c>
      <c r="B96" t="s">
        <v>478</v>
      </c>
    </row>
    <row r="97" spans="1:2" x14ac:dyDescent="0.25">
      <c r="A97" t="s">
        <v>471</v>
      </c>
      <c r="B97" t="s">
        <v>479</v>
      </c>
    </row>
    <row r="98" spans="1:2" x14ac:dyDescent="0.25">
      <c r="A98" t="s">
        <v>471</v>
      </c>
      <c r="B98" t="s">
        <v>480</v>
      </c>
    </row>
    <row r="99" spans="1:2" x14ac:dyDescent="0.25">
      <c r="A99" t="s">
        <v>471</v>
      </c>
      <c r="B99" t="s">
        <v>481</v>
      </c>
    </row>
    <row r="100" spans="1:2" x14ac:dyDescent="0.25">
      <c r="A100" t="s">
        <v>471</v>
      </c>
      <c r="B100" t="s">
        <v>482</v>
      </c>
    </row>
    <row r="101" spans="1:2" x14ac:dyDescent="0.25">
      <c r="A101" t="s">
        <v>471</v>
      </c>
      <c r="B101" t="s">
        <v>483</v>
      </c>
    </row>
    <row r="102" spans="1:2" x14ac:dyDescent="0.25">
      <c r="A102" t="s">
        <v>471</v>
      </c>
      <c r="B102" t="s">
        <v>471</v>
      </c>
    </row>
    <row r="103" spans="1:2" x14ac:dyDescent="0.25">
      <c r="A103" t="s">
        <v>471</v>
      </c>
      <c r="B103" t="s">
        <v>484</v>
      </c>
    </row>
    <row r="104" spans="1:2" x14ac:dyDescent="0.25">
      <c r="A104" t="s">
        <v>471</v>
      </c>
      <c r="B104" t="s">
        <v>485</v>
      </c>
    </row>
    <row r="105" spans="1:2" x14ac:dyDescent="0.25">
      <c r="A105" t="s">
        <v>471</v>
      </c>
      <c r="B105" t="s">
        <v>486</v>
      </c>
    </row>
    <row r="106" spans="1:2" x14ac:dyDescent="0.25">
      <c r="A106" t="s">
        <v>471</v>
      </c>
      <c r="B106" t="s">
        <v>487</v>
      </c>
    </row>
    <row r="107" spans="1:2" x14ac:dyDescent="0.25">
      <c r="A107" t="s">
        <v>471</v>
      </c>
      <c r="B107" t="s">
        <v>488</v>
      </c>
    </row>
    <row r="108" spans="1:2" x14ac:dyDescent="0.25">
      <c r="A108" t="s">
        <v>489</v>
      </c>
      <c r="B108" t="s">
        <v>388</v>
      </c>
    </row>
    <row r="109" spans="1:2" x14ac:dyDescent="0.25">
      <c r="A109" t="s">
        <v>489</v>
      </c>
      <c r="B109" t="s">
        <v>490</v>
      </c>
    </row>
    <row r="110" spans="1:2" x14ac:dyDescent="0.25">
      <c r="A110" t="s">
        <v>489</v>
      </c>
      <c r="B110" t="s">
        <v>491</v>
      </c>
    </row>
    <row r="111" spans="1:2" x14ac:dyDescent="0.25">
      <c r="A111" t="s">
        <v>489</v>
      </c>
      <c r="B111" t="s">
        <v>492</v>
      </c>
    </row>
    <row r="112" spans="1:2" x14ac:dyDescent="0.25">
      <c r="A112" t="s">
        <v>489</v>
      </c>
      <c r="B112" t="s">
        <v>493</v>
      </c>
    </row>
    <row r="113" spans="1:2" x14ac:dyDescent="0.25">
      <c r="A113" t="s">
        <v>489</v>
      </c>
      <c r="B113" t="s">
        <v>494</v>
      </c>
    </row>
    <row r="114" spans="1:2" x14ac:dyDescent="0.25">
      <c r="A114" t="s">
        <v>489</v>
      </c>
      <c r="B114" t="s">
        <v>495</v>
      </c>
    </row>
    <row r="115" spans="1:2" x14ac:dyDescent="0.25">
      <c r="A115" t="s">
        <v>489</v>
      </c>
      <c r="B115" t="s">
        <v>496</v>
      </c>
    </row>
    <row r="116" spans="1:2" x14ac:dyDescent="0.25">
      <c r="A116" t="s">
        <v>489</v>
      </c>
      <c r="B116" t="s">
        <v>497</v>
      </c>
    </row>
    <row r="117" spans="1:2" x14ac:dyDescent="0.25">
      <c r="A117" t="s">
        <v>489</v>
      </c>
      <c r="B117" t="s">
        <v>498</v>
      </c>
    </row>
    <row r="118" spans="1:2" x14ac:dyDescent="0.25">
      <c r="A118" t="s">
        <v>499</v>
      </c>
      <c r="B118" t="s">
        <v>388</v>
      </c>
    </row>
    <row r="119" spans="1:2" x14ac:dyDescent="0.25">
      <c r="A119" t="s">
        <v>499</v>
      </c>
      <c r="B119" t="s">
        <v>500</v>
      </c>
    </row>
    <row r="120" spans="1:2" x14ac:dyDescent="0.25">
      <c r="A120" t="s">
        <v>499</v>
      </c>
      <c r="B120" t="s">
        <v>501</v>
      </c>
    </row>
    <row r="121" spans="1:2" x14ac:dyDescent="0.25">
      <c r="A121" t="s">
        <v>499</v>
      </c>
      <c r="B121" t="s">
        <v>502</v>
      </c>
    </row>
    <row r="122" spans="1:2" x14ac:dyDescent="0.25">
      <c r="A122" t="s">
        <v>499</v>
      </c>
      <c r="B122" t="s">
        <v>503</v>
      </c>
    </row>
    <row r="123" spans="1:2" x14ac:dyDescent="0.25">
      <c r="A123" t="s">
        <v>499</v>
      </c>
      <c r="B123" t="s">
        <v>504</v>
      </c>
    </row>
    <row r="124" spans="1:2" x14ac:dyDescent="0.25">
      <c r="A124" t="s">
        <v>499</v>
      </c>
      <c r="B124" t="s">
        <v>505</v>
      </c>
    </row>
    <row r="125" spans="1:2" x14ac:dyDescent="0.25">
      <c r="A125" t="s">
        <v>499</v>
      </c>
      <c r="B125" t="s">
        <v>506</v>
      </c>
    </row>
    <row r="126" spans="1:2" x14ac:dyDescent="0.25">
      <c r="A126" t="s">
        <v>499</v>
      </c>
      <c r="B126" t="s">
        <v>507</v>
      </c>
    </row>
    <row r="127" spans="1:2" x14ac:dyDescent="0.25">
      <c r="A127" t="s">
        <v>499</v>
      </c>
      <c r="B127" t="s">
        <v>508</v>
      </c>
    </row>
    <row r="128" spans="1:2" x14ac:dyDescent="0.25">
      <c r="A128" t="s">
        <v>499</v>
      </c>
      <c r="B128" t="s">
        <v>509</v>
      </c>
    </row>
    <row r="129" spans="1:2" x14ac:dyDescent="0.25">
      <c r="A129" t="s">
        <v>499</v>
      </c>
      <c r="B129" t="s">
        <v>510</v>
      </c>
    </row>
    <row r="130" spans="1:2" x14ac:dyDescent="0.25">
      <c r="A130" t="s">
        <v>499</v>
      </c>
      <c r="B130" t="s">
        <v>511</v>
      </c>
    </row>
    <row r="131" spans="1:2" x14ac:dyDescent="0.25">
      <c r="A131" t="s">
        <v>512</v>
      </c>
      <c r="B131" t="s">
        <v>388</v>
      </c>
    </row>
    <row r="132" spans="1:2" x14ac:dyDescent="0.25">
      <c r="A132" t="s">
        <v>512</v>
      </c>
      <c r="B132" t="s">
        <v>513</v>
      </c>
    </row>
    <row r="133" spans="1:2" x14ac:dyDescent="0.25">
      <c r="A133" t="s">
        <v>512</v>
      </c>
      <c r="B133" t="s">
        <v>514</v>
      </c>
    </row>
    <row r="134" spans="1:2" x14ac:dyDescent="0.25">
      <c r="A134" t="s">
        <v>512</v>
      </c>
      <c r="B134" t="s">
        <v>515</v>
      </c>
    </row>
    <row r="135" spans="1:2" x14ac:dyDescent="0.25">
      <c r="A135" t="s">
        <v>512</v>
      </c>
      <c r="B135" t="s">
        <v>516</v>
      </c>
    </row>
    <row r="136" spans="1:2" x14ac:dyDescent="0.25">
      <c r="A136" t="s">
        <v>512</v>
      </c>
      <c r="B136" t="s">
        <v>517</v>
      </c>
    </row>
    <row r="137" spans="1:2" x14ac:dyDescent="0.25">
      <c r="A137" t="s">
        <v>512</v>
      </c>
      <c r="B137" t="s">
        <v>518</v>
      </c>
    </row>
    <row r="138" spans="1:2" x14ac:dyDescent="0.25">
      <c r="A138" t="s">
        <v>512</v>
      </c>
      <c r="B138" t="s">
        <v>519</v>
      </c>
    </row>
    <row r="139" spans="1:2" x14ac:dyDescent="0.25">
      <c r="A139" t="s">
        <v>520</v>
      </c>
      <c r="B139" t="s">
        <v>388</v>
      </c>
    </row>
    <row r="140" spans="1:2" x14ac:dyDescent="0.25">
      <c r="A140" t="s">
        <v>520</v>
      </c>
      <c r="B140" t="s">
        <v>521</v>
      </c>
    </row>
    <row r="141" spans="1:2" x14ac:dyDescent="0.25">
      <c r="A141" t="s">
        <v>520</v>
      </c>
      <c r="B141" t="s">
        <v>522</v>
      </c>
    </row>
    <row r="142" spans="1:2" x14ac:dyDescent="0.25">
      <c r="A142" t="s">
        <v>520</v>
      </c>
      <c r="B142" t="s">
        <v>523</v>
      </c>
    </row>
    <row r="143" spans="1:2" x14ac:dyDescent="0.25">
      <c r="A143" t="s">
        <v>520</v>
      </c>
      <c r="B143" t="s">
        <v>524</v>
      </c>
    </row>
    <row r="144" spans="1:2" x14ac:dyDescent="0.25">
      <c r="A144" t="s">
        <v>525</v>
      </c>
      <c r="B144" t="s">
        <v>388</v>
      </c>
    </row>
    <row r="145" spans="1:2" x14ac:dyDescent="0.25">
      <c r="A145" t="s">
        <v>525</v>
      </c>
      <c r="B145" t="s">
        <v>526</v>
      </c>
    </row>
    <row r="146" spans="1:2" x14ac:dyDescent="0.25">
      <c r="A146" t="s">
        <v>525</v>
      </c>
      <c r="B146" t="s">
        <v>527</v>
      </c>
    </row>
    <row r="147" spans="1:2" x14ac:dyDescent="0.25">
      <c r="A147" t="s">
        <v>525</v>
      </c>
      <c r="B147" t="s">
        <v>525</v>
      </c>
    </row>
    <row r="148" spans="1:2" x14ac:dyDescent="0.25">
      <c r="A148" t="s">
        <v>525</v>
      </c>
      <c r="B148" t="s">
        <v>528</v>
      </c>
    </row>
    <row r="149" spans="1:2" x14ac:dyDescent="0.25">
      <c r="A149" t="s">
        <v>525</v>
      </c>
      <c r="B149" t="s">
        <v>529</v>
      </c>
    </row>
    <row r="150" spans="1:2" x14ac:dyDescent="0.25">
      <c r="A150" t="s">
        <v>525</v>
      </c>
      <c r="B150" t="s">
        <v>530</v>
      </c>
    </row>
    <row r="151" spans="1:2" x14ac:dyDescent="0.25">
      <c r="A151" t="s">
        <v>525</v>
      </c>
      <c r="B151" t="s">
        <v>531</v>
      </c>
    </row>
    <row r="152" spans="1:2" x14ac:dyDescent="0.25">
      <c r="A152" t="s">
        <v>532</v>
      </c>
      <c r="B152" t="s">
        <v>388</v>
      </c>
    </row>
    <row r="153" spans="1:2" x14ac:dyDescent="0.25">
      <c r="A153" t="s">
        <v>532</v>
      </c>
      <c r="B153" t="s">
        <v>533</v>
      </c>
    </row>
    <row r="154" spans="1:2" x14ac:dyDescent="0.25">
      <c r="A154" t="s">
        <v>532</v>
      </c>
      <c r="B154" t="s">
        <v>534</v>
      </c>
    </row>
    <row r="155" spans="1:2" x14ac:dyDescent="0.25">
      <c r="A155" t="s">
        <v>532</v>
      </c>
      <c r="B155" t="s">
        <v>535</v>
      </c>
    </row>
    <row r="156" spans="1:2" x14ac:dyDescent="0.25">
      <c r="A156" t="s">
        <v>532</v>
      </c>
      <c r="B156" t="s">
        <v>536</v>
      </c>
    </row>
    <row r="157" spans="1:2" x14ac:dyDescent="0.25">
      <c r="A157" t="s">
        <v>532</v>
      </c>
      <c r="B157" t="s">
        <v>537</v>
      </c>
    </row>
    <row r="158" spans="1:2" x14ac:dyDescent="0.25">
      <c r="A158" t="s">
        <v>532</v>
      </c>
      <c r="B158" t="s">
        <v>538</v>
      </c>
    </row>
    <row r="159" spans="1:2" x14ac:dyDescent="0.25">
      <c r="A159" t="s">
        <v>539</v>
      </c>
      <c r="B159" t="s">
        <v>388</v>
      </c>
    </row>
    <row r="160" spans="1:2" x14ac:dyDescent="0.25">
      <c r="A160" t="s">
        <v>539</v>
      </c>
      <c r="B160" t="s">
        <v>540</v>
      </c>
    </row>
    <row r="161" spans="1:2" x14ac:dyDescent="0.25">
      <c r="A161" t="s">
        <v>539</v>
      </c>
      <c r="B161" t="s">
        <v>541</v>
      </c>
    </row>
    <row r="162" spans="1:2" x14ac:dyDescent="0.25">
      <c r="A162" t="s">
        <v>539</v>
      </c>
      <c r="B162" t="s">
        <v>542</v>
      </c>
    </row>
    <row r="163" spans="1:2" x14ac:dyDescent="0.25">
      <c r="A163" t="s">
        <v>539</v>
      </c>
      <c r="B163" t="s">
        <v>543</v>
      </c>
    </row>
    <row r="164" spans="1:2" x14ac:dyDescent="0.25">
      <c r="A164" t="s">
        <v>539</v>
      </c>
      <c r="B164" t="s">
        <v>544</v>
      </c>
    </row>
    <row r="165" spans="1:2" x14ac:dyDescent="0.25">
      <c r="A165" t="s">
        <v>539</v>
      </c>
      <c r="B165" t="s">
        <v>545</v>
      </c>
    </row>
    <row r="166" spans="1:2" x14ac:dyDescent="0.25">
      <c r="A166" t="s">
        <v>539</v>
      </c>
      <c r="B166" t="s">
        <v>546</v>
      </c>
    </row>
    <row r="167" spans="1:2" x14ac:dyDescent="0.25">
      <c r="A167" t="s">
        <v>547</v>
      </c>
      <c r="B167" t="s">
        <v>388</v>
      </c>
    </row>
    <row r="168" spans="1:2" x14ac:dyDescent="0.25">
      <c r="A168" t="s">
        <v>547</v>
      </c>
      <c r="B168" t="s">
        <v>547</v>
      </c>
    </row>
    <row r="169" spans="1:2" x14ac:dyDescent="0.25">
      <c r="A169" t="s">
        <v>547</v>
      </c>
      <c r="B169" t="s">
        <v>548</v>
      </c>
    </row>
    <row r="170" spans="1:2" x14ac:dyDescent="0.25">
      <c r="A170" t="s">
        <v>547</v>
      </c>
      <c r="B170" t="s">
        <v>549</v>
      </c>
    </row>
    <row r="171" spans="1:2" x14ac:dyDescent="0.25">
      <c r="A171" t="s">
        <v>547</v>
      </c>
      <c r="B171" t="s">
        <v>550</v>
      </c>
    </row>
    <row r="172" spans="1:2" x14ac:dyDescent="0.25">
      <c r="A172" t="s">
        <v>547</v>
      </c>
      <c r="B172" t="s">
        <v>551</v>
      </c>
    </row>
    <row r="173" spans="1:2" x14ac:dyDescent="0.25">
      <c r="A173" t="s">
        <v>547</v>
      </c>
      <c r="B173" t="s">
        <v>552</v>
      </c>
    </row>
    <row r="174" spans="1:2" x14ac:dyDescent="0.25">
      <c r="A174" t="s">
        <v>553</v>
      </c>
      <c r="B174" t="s">
        <v>388</v>
      </c>
    </row>
    <row r="175" spans="1:2" x14ac:dyDescent="0.25">
      <c r="A175" t="s">
        <v>553</v>
      </c>
      <c r="B175" t="s">
        <v>554</v>
      </c>
    </row>
    <row r="176" spans="1:2" x14ac:dyDescent="0.25">
      <c r="A176" t="s">
        <v>555</v>
      </c>
      <c r="B176" t="s">
        <v>388</v>
      </c>
    </row>
    <row r="177" spans="1:2" x14ac:dyDescent="0.25">
      <c r="A177" t="s">
        <v>555</v>
      </c>
      <c r="B177" t="s">
        <v>556</v>
      </c>
    </row>
    <row r="178" spans="1:2" x14ac:dyDescent="0.25">
      <c r="A178" t="s">
        <v>555</v>
      </c>
      <c r="B178" t="s">
        <v>557</v>
      </c>
    </row>
    <row r="179" spans="1:2" x14ac:dyDescent="0.25">
      <c r="A179" t="s">
        <v>555</v>
      </c>
      <c r="B179" t="s">
        <v>558</v>
      </c>
    </row>
    <row r="180" spans="1:2" x14ac:dyDescent="0.25">
      <c r="A180" t="s">
        <v>555</v>
      </c>
      <c r="B180" t="s">
        <v>559</v>
      </c>
    </row>
    <row r="181" spans="1:2" x14ac:dyDescent="0.25">
      <c r="A181" t="s">
        <v>555</v>
      </c>
      <c r="B181" t="s">
        <v>560</v>
      </c>
    </row>
    <row r="182" spans="1:2" x14ac:dyDescent="0.25">
      <c r="A182" t="s">
        <v>555</v>
      </c>
      <c r="B182" t="s">
        <v>561</v>
      </c>
    </row>
    <row r="183" spans="1:2" x14ac:dyDescent="0.25">
      <c r="A183" t="s">
        <v>555</v>
      </c>
      <c r="B183" t="s">
        <v>562</v>
      </c>
    </row>
    <row r="184" spans="1:2" x14ac:dyDescent="0.25">
      <c r="A184" t="s">
        <v>563</v>
      </c>
      <c r="B184" t="s">
        <v>388</v>
      </c>
    </row>
    <row r="185" spans="1:2" x14ac:dyDescent="0.25">
      <c r="A185" t="s">
        <v>563</v>
      </c>
      <c r="B185" t="s">
        <v>564</v>
      </c>
    </row>
    <row r="186" spans="1:2" x14ac:dyDescent="0.25">
      <c r="A186" t="s">
        <v>565</v>
      </c>
      <c r="B186" t="s">
        <v>388</v>
      </c>
    </row>
    <row r="187" spans="1:2" x14ac:dyDescent="0.25">
      <c r="A187" t="s">
        <v>565</v>
      </c>
      <c r="B187" t="s">
        <v>566</v>
      </c>
    </row>
    <row r="188" spans="1:2" x14ac:dyDescent="0.25">
      <c r="A188" t="s">
        <v>565</v>
      </c>
      <c r="B188" t="s">
        <v>567</v>
      </c>
    </row>
    <row r="189" spans="1:2" x14ac:dyDescent="0.25">
      <c r="A189" t="s">
        <v>565</v>
      </c>
      <c r="B189" t="s">
        <v>568</v>
      </c>
    </row>
    <row r="190" spans="1:2" x14ac:dyDescent="0.25">
      <c r="A190" t="s">
        <v>565</v>
      </c>
      <c r="B190" t="s">
        <v>569</v>
      </c>
    </row>
    <row r="191" spans="1:2" x14ac:dyDescent="0.25">
      <c r="A191" t="s">
        <v>565</v>
      </c>
      <c r="B191" t="s">
        <v>570</v>
      </c>
    </row>
    <row r="192" spans="1:2" x14ac:dyDescent="0.25">
      <c r="A192" t="s">
        <v>571</v>
      </c>
      <c r="B192" t="s">
        <v>388</v>
      </c>
    </row>
    <row r="193" spans="1:2" x14ac:dyDescent="0.25">
      <c r="A193" t="s">
        <v>571</v>
      </c>
      <c r="B193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Palabras_Clave</vt:lpstr>
      <vt:lpstr>Global</vt:lpstr>
      <vt:lpstr>Configuraciones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Ruiz</dc:creator>
  <cp:lastModifiedBy>David Ruiz</cp:lastModifiedBy>
  <dcterms:created xsi:type="dcterms:W3CDTF">2025-07-27T08:42:16Z</dcterms:created>
  <dcterms:modified xsi:type="dcterms:W3CDTF">2025-07-27T10:54:49Z</dcterms:modified>
</cp:coreProperties>
</file>